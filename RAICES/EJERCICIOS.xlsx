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E:\ANALISIS_NUMERICO\RAICES\"/>
    </mc:Choice>
  </mc:AlternateContent>
  <xr:revisionPtr revIDLastSave="0" documentId="13_ncr:1_{8F4D01E4-16D3-43A9-A516-97DC8B2ECDB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5" i="5" l="1"/>
  <c r="C45" i="5"/>
  <c r="E45" i="5" s="1"/>
  <c r="D45" i="5"/>
  <c r="B44" i="5"/>
  <c r="C44" i="5"/>
  <c r="E44" i="5" s="1"/>
  <c r="D44" i="5"/>
  <c r="B43" i="5"/>
  <c r="D43" i="5" s="1"/>
  <c r="C43" i="5"/>
  <c r="E43" i="5"/>
  <c r="F43" i="5" s="1"/>
  <c r="G43" i="5" s="1"/>
  <c r="G42" i="5"/>
  <c r="F42" i="5"/>
  <c r="E42" i="5"/>
  <c r="D42" i="5"/>
  <c r="C42" i="5"/>
  <c r="B42" i="5"/>
  <c r="F41" i="5"/>
  <c r="E41" i="5"/>
  <c r="D41" i="5"/>
  <c r="B28" i="5"/>
  <c r="D28" i="5" s="1"/>
  <c r="B27" i="5"/>
  <c r="D27" i="5"/>
  <c r="B26" i="5"/>
  <c r="D26" i="5" s="1"/>
  <c r="C26" i="5"/>
  <c r="F25" i="5"/>
  <c r="E25" i="5"/>
  <c r="D25" i="5"/>
  <c r="C25" i="5"/>
  <c r="E24" i="5"/>
  <c r="B25" i="5" s="1"/>
  <c r="D24" i="5"/>
  <c r="C24" i="5"/>
  <c r="B9" i="5"/>
  <c r="D9" i="5" s="1"/>
  <c r="C9" i="5"/>
  <c r="G8" i="5"/>
  <c r="F8" i="5"/>
  <c r="E8" i="5"/>
  <c r="D8" i="5"/>
  <c r="C8" i="5"/>
  <c r="B8" i="5"/>
  <c r="F7" i="5"/>
  <c r="E7" i="5"/>
  <c r="D7" i="5"/>
  <c r="B44" i="4"/>
  <c r="C44" i="4"/>
  <c r="E44" i="4" s="1"/>
  <c r="F44" i="4" s="1"/>
  <c r="D44" i="4"/>
  <c r="B45" i="4"/>
  <c r="D45" i="4" s="1"/>
  <c r="B43" i="4"/>
  <c r="D43" i="4" s="1"/>
  <c r="C43" i="4"/>
  <c r="G42" i="4"/>
  <c r="F42" i="4"/>
  <c r="E42" i="4"/>
  <c r="D42" i="4"/>
  <c r="C42" i="4"/>
  <c r="B42" i="4"/>
  <c r="F41" i="4"/>
  <c r="E41" i="4"/>
  <c r="D41" i="4"/>
  <c r="B29" i="4"/>
  <c r="D29" i="4" s="1"/>
  <c r="C29" i="4"/>
  <c r="B28" i="4"/>
  <c r="D28" i="4" s="1"/>
  <c r="B27" i="4"/>
  <c r="D27" i="4"/>
  <c r="B26" i="4"/>
  <c r="C26" i="4" s="1"/>
  <c r="E26" i="4" s="1"/>
  <c r="F26" i="4" s="1"/>
  <c r="D26" i="4"/>
  <c r="F25" i="4"/>
  <c r="E25" i="4"/>
  <c r="D25" i="4"/>
  <c r="C25" i="4"/>
  <c r="B25" i="4"/>
  <c r="E24" i="4"/>
  <c r="D24" i="4"/>
  <c r="C24" i="4"/>
  <c r="B11" i="4"/>
  <c r="E11" i="4" s="1"/>
  <c r="C11" i="4"/>
  <c r="D11" i="4" s="1"/>
  <c r="B10" i="4"/>
  <c r="C10" i="4"/>
  <c r="D10" i="4"/>
  <c r="E10" i="4"/>
  <c r="F10" i="4" s="1"/>
  <c r="G10" i="4"/>
  <c r="B9" i="4"/>
  <c r="D9" i="4" s="1"/>
  <c r="C9" i="4"/>
  <c r="G8" i="4"/>
  <c r="F8" i="4"/>
  <c r="E8" i="4"/>
  <c r="D8" i="4"/>
  <c r="C8" i="4"/>
  <c r="B8" i="4"/>
  <c r="F7" i="4"/>
  <c r="E7" i="4"/>
  <c r="D7" i="4"/>
  <c r="B45" i="3"/>
  <c r="D45" i="3" s="1"/>
  <c r="C45" i="3"/>
  <c r="E45" i="3"/>
  <c r="B46" i="3"/>
  <c r="D46" i="3" s="1"/>
  <c r="B44" i="3"/>
  <c r="C44" i="3"/>
  <c r="F44" i="3" s="1"/>
  <c r="G44" i="3" s="1"/>
  <c r="D44" i="3"/>
  <c r="E44" i="3"/>
  <c r="B43" i="3"/>
  <c r="C43" i="3"/>
  <c r="D43" i="3"/>
  <c r="E43" i="3"/>
  <c r="F43" i="3" s="1"/>
  <c r="G43" i="3" s="1"/>
  <c r="G42" i="3"/>
  <c r="F42" i="3"/>
  <c r="E42" i="3"/>
  <c r="D42" i="3"/>
  <c r="C42" i="3"/>
  <c r="B42" i="3"/>
  <c r="F41" i="3"/>
  <c r="E41" i="3"/>
  <c r="D41" i="3"/>
  <c r="B28" i="3"/>
  <c r="D28" i="3" s="1"/>
  <c r="B27" i="3"/>
  <c r="D27" i="3" s="1"/>
  <c r="B26" i="3"/>
  <c r="C26" i="3" s="1"/>
  <c r="F25" i="3"/>
  <c r="E25" i="3"/>
  <c r="D25" i="3"/>
  <c r="C25" i="3"/>
  <c r="B25" i="3"/>
  <c r="E24" i="3"/>
  <c r="D24" i="3"/>
  <c r="C24" i="3"/>
  <c r="B20" i="3"/>
  <c r="D20" i="3" s="1"/>
  <c r="C20" i="3"/>
  <c r="B18" i="3"/>
  <c r="C18" i="3"/>
  <c r="D18" i="3"/>
  <c r="E18" i="3"/>
  <c r="F18" i="3"/>
  <c r="C19" i="3" s="1"/>
  <c r="G18" i="3"/>
  <c r="B14" i="3"/>
  <c r="C14" i="3"/>
  <c r="D14" i="3"/>
  <c r="G14" i="3" s="1"/>
  <c r="E14" i="3"/>
  <c r="F14" i="3"/>
  <c r="B11" i="3"/>
  <c r="D11" i="3" s="1"/>
  <c r="C11" i="3"/>
  <c r="B10" i="3"/>
  <c r="D10" i="3" s="1"/>
  <c r="C10" i="3"/>
  <c r="B9" i="3"/>
  <c r="D9" i="3" s="1"/>
  <c r="C9" i="3"/>
  <c r="G8" i="3"/>
  <c r="F8" i="3"/>
  <c r="E8" i="3"/>
  <c r="D8" i="3"/>
  <c r="C8" i="3"/>
  <c r="B8" i="3"/>
  <c r="F7" i="3"/>
  <c r="E7" i="3"/>
  <c r="D7" i="3"/>
  <c r="B44" i="2"/>
  <c r="D44" i="2" s="1"/>
  <c r="C45" i="2" s="1"/>
  <c r="C44" i="2"/>
  <c r="B43" i="2"/>
  <c r="C43" i="2"/>
  <c r="E43" i="2" s="1"/>
  <c r="D43" i="2"/>
  <c r="F42" i="2"/>
  <c r="C42" i="2"/>
  <c r="D42" i="2"/>
  <c r="E42" i="2"/>
  <c r="B42" i="2"/>
  <c r="F41" i="2"/>
  <c r="E41" i="2"/>
  <c r="D41" i="2"/>
  <c r="B28" i="2"/>
  <c r="C28" i="2" s="1"/>
  <c r="B27" i="2"/>
  <c r="C27" i="2"/>
  <c r="E27" i="2" s="1"/>
  <c r="F27" i="2" s="1"/>
  <c r="D27" i="2"/>
  <c r="B26" i="2"/>
  <c r="C26" i="2" s="1"/>
  <c r="F25" i="2"/>
  <c r="E25" i="2"/>
  <c r="D25" i="2"/>
  <c r="C25" i="2"/>
  <c r="B25" i="2"/>
  <c r="E24" i="2"/>
  <c r="D24" i="2"/>
  <c r="C24" i="2"/>
  <c r="B13" i="2"/>
  <c r="D13" i="2" s="1"/>
  <c r="C13" i="2"/>
  <c r="B12" i="2"/>
  <c r="D12" i="2" s="1"/>
  <c r="C12" i="2"/>
  <c r="E12" i="2"/>
  <c r="B11" i="2"/>
  <c r="D11" i="2" s="1"/>
  <c r="C11" i="2"/>
  <c r="B10" i="2"/>
  <c r="D10" i="2" s="1"/>
  <c r="C10" i="2"/>
  <c r="E9" i="2"/>
  <c r="E8" i="2"/>
  <c r="E7" i="2"/>
  <c r="C8" i="2" s="1"/>
  <c r="F7" i="2"/>
  <c r="A10" i="2"/>
  <c r="A12" i="2"/>
  <c r="A14" i="2"/>
  <c r="A16" i="2"/>
  <c r="A18" i="2"/>
  <c r="A20" i="2"/>
  <c r="A8" i="2"/>
  <c r="D7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  <c r="F45" i="5" l="1"/>
  <c r="B46" i="5"/>
  <c r="D46" i="5" s="1"/>
  <c r="F44" i="5"/>
  <c r="G44" i="5" s="1"/>
  <c r="C28" i="5"/>
  <c r="E28" i="5" s="1"/>
  <c r="C27" i="5"/>
  <c r="E27" i="5" s="1"/>
  <c r="F27" i="5" s="1"/>
  <c r="E26" i="5"/>
  <c r="F26" i="5" s="1"/>
  <c r="E9" i="5"/>
  <c r="G44" i="4"/>
  <c r="C45" i="4"/>
  <c r="E43" i="4"/>
  <c r="F43" i="4" s="1"/>
  <c r="G43" i="4" s="1"/>
  <c r="E29" i="4"/>
  <c r="C28" i="4"/>
  <c r="E28" i="4"/>
  <c r="F28" i="4" s="1"/>
  <c r="C27" i="4"/>
  <c r="E27" i="4" s="1"/>
  <c r="F27" i="4" s="1"/>
  <c r="F11" i="4"/>
  <c r="G11" i="4"/>
  <c r="E9" i="4"/>
  <c r="F45" i="3"/>
  <c r="C28" i="3"/>
  <c r="E28" i="3" s="1"/>
  <c r="C27" i="3"/>
  <c r="E27" i="3" s="1"/>
  <c r="F27" i="3" s="1"/>
  <c r="D26" i="3"/>
  <c r="E26" i="3" s="1"/>
  <c r="F26" i="3" s="1"/>
  <c r="F20" i="3"/>
  <c r="G20" i="3"/>
  <c r="E20" i="3"/>
  <c r="B19" i="3"/>
  <c r="B15" i="3"/>
  <c r="C15" i="3"/>
  <c r="F11" i="3"/>
  <c r="G11" i="3"/>
  <c r="E11" i="3"/>
  <c r="F10" i="3"/>
  <c r="G10" i="3"/>
  <c r="E10" i="3"/>
  <c r="F9" i="3"/>
  <c r="G9" i="3"/>
  <c r="E9" i="3"/>
  <c r="F45" i="2"/>
  <c r="G45" i="2" s="1"/>
  <c r="E45" i="2"/>
  <c r="B45" i="2"/>
  <c r="D45" i="2" s="1"/>
  <c r="E44" i="2"/>
  <c r="F44" i="2" s="1"/>
  <c r="G44" i="2" s="1"/>
  <c r="F43" i="2"/>
  <c r="G43" i="2" s="1"/>
  <c r="G42" i="2"/>
  <c r="D28" i="2"/>
  <c r="E28" i="2" s="1"/>
  <c r="F28" i="2" s="1"/>
  <c r="D26" i="2"/>
  <c r="E26" i="2" s="1"/>
  <c r="F26" i="2" s="1"/>
  <c r="F13" i="2"/>
  <c r="G13" i="2"/>
  <c r="E13" i="2"/>
  <c r="F12" i="2"/>
  <c r="G12" i="2"/>
  <c r="F11" i="2"/>
  <c r="G11" i="2"/>
  <c r="E11" i="2"/>
  <c r="G10" i="2"/>
  <c r="F10" i="2"/>
  <c r="E10" i="2"/>
  <c r="B8" i="2"/>
  <c r="D8" i="2"/>
  <c r="G45" i="5" l="1"/>
  <c r="C46" i="5"/>
  <c r="F28" i="5"/>
  <c r="B29" i="5"/>
  <c r="F9" i="5"/>
  <c r="G9" i="5"/>
  <c r="E45" i="4"/>
  <c r="F45" i="4"/>
  <c r="B46" i="4"/>
  <c r="D46" i="4" s="1"/>
  <c r="B30" i="4"/>
  <c r="F29" i="4"/>
  <c r="B12" i="4"/>
  <c r="C12" i="4"/>
  <c r="G9" i="4"/>
  <c r="F9" i="4"/>
  <c r="C46" i="3"/>
  <c r="G45" i="3"/>
  <c r="F28" i="3"/>
  <c r="B29" i="3"/>
  <c r="B21" i="3"/>
  <c r="C21" i="3"/>
  <c r="D19" i="3"/>
  <c r="E19" i="3"/>
  <c r="D15" i="3"/>
  <c r="E15" i="3"/>
  <c r="B12" i="3"/>
  <c r="C12" i="3"/>
  <c r="C14" i="2"/>
  <c r="B14" i="2"/>
  <c r="G8" i="2"/>
  <c r="F8" i="2"/>
  <c r="B9" i="2" s="1"/>
  <c r="E46" i="5" l="1"/>
  <c r="F46" i="5" s="1"/>
  <c r="B47" i="5"/>
  <c r="D47" i="5" s="1"/>
  <c r="D29" i="5"/>
  <c r="C29" i="5"/>
  <c r="E29" i="5" s="1"/>
  <c r="G45" i="4"/>
  <c r="C46" i="4"/>
  <c r="C30" i="4"/>
  <c r="E30" i="4" s="1"/>
  <c r="D30" i="4"/>
  <c r="D12" i="4"/>
  <c r="E12" i="4"/>
  <c r="E46" i="3"/>
  <c r="F46" i="3"/>
  <c r="E29" i="3"/>
  <c r="D29" i="3"/>
  <c r="C29" i="3"/>
  <c r="D21" i="3"/>
  <c r="E21" i="3"/>
  <c r="G19" i="3"/>
  <c r="F19" i="3"/>
  <c r="G15" i="3"/>
  <c r="F15" i="3"/>
  <c r="D12" i="3"/>
  <c r="E12" i="3"/>
  <c r="D14" i="2"/>
  <c r="E14" i="2"/>
  <c r="C9" i="2"/>
  <c r="D9" i="2" s="1"/>
  <c r="G46" i="5" l="1"/>
  <c r="C47" i="5"/>
  <c r="B30" i="5"/>
  <c r="F29" i="5"/>
  <c r="E46" i="4"/>
  <c r="F46" i="4" s="1"/>
  <c r="B31" i="4"/>
  <c r="F30" i="4"/>
  <c r="F12" i="4"/>
  <c r="G12" i="4"/>
  <c r="G46" i="3"/>
  <c r="B30" i="3"/>
  <c r="F29" i="3"/>
  <c r="F21" i="3"/>
  <c r="G21" i="3"/>
  <c r="B16" i="3"/>
  <c r="C16" i="3"/>
  <c r="F12" i="3"/>
  <c r="G12" i="3"/>
  <c r="F14" i="2"/>
  <c r="G14" i="2"/>
  <c r="G9" i="2"/>
  <c r="F9" i="2"/>
  <c r="E47" i="5" l="1"/>
  <c r="F47" i="5" s="1"/>
  <c r="C30" i="5"/>
  <c r="D30" i="5"/>
  <c r="E30" i="5"/>
  <c r="G46" i="4"/>
  <c r="C31" i="4"/>
  <c r="E31" i="4" s="1"/>
  <c r="D31" i="4"/>
  <c r="B13" i="4"/>
  <c r="C13" i="4"/>
  <c r="C30" i="3"/>
  <c r="E30" i="3" s="1"/>
  <c r="D30" i="3"/>
  <c r="E16" i="3"/>
  <c r="D16" i="3"/>
  <c r="B13" i="3"/>
  <c r="C13" i="3"/>
  <c r="B15" i="2"/>
  <c r="C15" i="2"/>
  <c r="G47" i="5" l="1"/>
  <c r="F30" i="5"/>
  <c r="B31" i="5"/>
  <c r="F31" i="4"/>
  <c r="B32" i="4"/>
  <c r="D13" i="4"/>
  <c r="E13" i="4"/>
  <c r="B31" i="3"/>
  <c r="F30" i="3"/>
  <c r="F16" i="3"/>
  <c r="G16" i="3"/>
  <c r="D13" i="3"/>
  <c r="E13" i="3"/>
  <c r="E15" i="2"/>
  <c r="D15" i="2"/>
  <c r="D31" i="5" l="1"/>
  <c r="C31" i="5"/>
  <c r="E31" i="5" s="1"/>
  <c r="D32" i="4"/>
  <c r="C32" i="4"/>
  <c r="E32" i="4" s="1"/>
  <c r="G13" i="4"/>
  <c r="F13" i="4"/>
  <c r="D31" i="3"/>
  <c r="E31" i="3" s="1"/>
  <c r="C31" i="3"/>
  <c r="B17" i="3"/>
  <c r="C17" i="3"/>
  <c r="F13" i="3"/>
  <c r="G13" i="3"/>
  <c r="F15" i="2"/>
  <c r="G15" i="2"/>
  <c r="F31" i="5" l="1"/>
  <c r="B32" i="5"/>
  <c r="F32" i="4"/>
  <c r="B33" i="4"/>
  <c r="B32" i="3"/>
  <c r="F31" i="3"/>
  <c r="D17" i="3"/>
  <c r="E17" i="3"/>
  <c r="B16" i="2"/>
  <c r="C16" i="2"/>
  <c r="D32" i="5" l="1"/>
  <c r="C32" i="5"/>
  <c r="E32" i="5" s="1"/>
  <c r="C33" i="4"/>
  <c r="E33" i="4" s="1"/>
  <c r="D33" i="4"/>
  <c r="C32" i="3"/>
  <c r="E32" i="3" s="1"/>
  <c r="D32" i="3"/>
  <c r="G17" i="3"/>
  <c r="F17" i="3"/>
  <c r="D16" i="2"/>
  <c r="E16" i="2"/>
  <c r="B33" i="5" l="1"/>
  <c r="F32" i="5"/>
  <c r="F33" i="4"/>
  <c r="B34" i="4"/>
  <c r="F32" i="3"/>
  <c r="B33" i="3"/>
  <c r="F16" i="2"/>
  <c r="G16" i="2"/>
  <c r="C33" i="5" l="1"/>
  <c r="E33" i="5" s="1"/>
  <c r="D33" i="5"/>
  <c r="C34" i="4"/>
  <c r="E34" i="4" s="1"/>
  <c r="F34" i="4" s="1"/>
  <c r="D34" i="4"/>
  <c r="C33" i="3"/>
  <c r="E33" i="3" s="1"/>
  <c r="D33" i="3"/>
  <c r="B17" i="2"/>
  <c r="C17" i="2"/>
  <c r="B34" i="5" l="1"/>
  <c r="F33" i="5"/>
  <c r="F33" i="3"/>
  <c r="B34" i="3"/>
  <c r="D17" i="2"/>
  <c r="E17" i="2"/>
  <c r="D34" i="5" l="1"/>
  <c r="E34" i="5" s="1"/>
  <c r="F34" i="5" s="1"/>
  <c r="C34" i="5"/>
  <c r="C34" i="3"/>
  <c r="E34" i="3" s="1"/>
  <c r="D34" i="3"/>
  <c r="F17" i="2"/>
  <c r="G17" i="2"/>
  <c r="F34" i="3" l="1"/>
  <c r="C18" i="2"/>
  <c r="B18" i="2"/>
  <c r="D18" i="2" l="1"/>
  <c r="E18" i="2"/>
  <c r="F18" i="2" l="1"/>
  <c r="G18" i="2"/>
  <c r="B19" i="2" l="1"/>
  <c r="C19" i="2"/>
  <c r="D19" i="2" l="1"/>
  <c r="E19" i="2"/>
  <c r="G19" i="2" l="1"/>
  <c r="F19" i="2"/>
  <c r="B20" i="2" l="1"/>
  <c r="C20" i="2"/>
  <c r="D20" i="2" l="1"/>
  <c r="E20" i="2"/>
  <c r="F20" i="2" l="1"/>
  <c r="G20" i="2"/>
  <c r="B21" i="2" l="1"/>
  <c r="C21" i="2"/>
  <c r="D21" i="2" l="1"/>
  <c r="E21" i="2"/>
  <c r="F21" i="2" l="1"/>
  <c r="G21" i="2"/>
</calcChain>
</file>

<file path=xl/sharedStrings.xml><?xml version="1.0" encoding="utf-8"?>
<sst xmlns="http://schemas.openxmlformats.org/spreadsheetml/2006/main" count="290" uniqueCount="167">
  <si>
    <t>x</t>
  </si>
  <si>
    <t>f(x) = x^3 - exp(0.8*x) - 20</t>
  </si>
  <si>
    <t>f(x)=0</t>
  </si>
  <si>
    <t>f(x) = x^3 - e^{0.8x} - 20</t>
  </si>
  <si>
    <r>
      <t xml:space="preserve">Determinar dónde se encuentran las dos raíces entre </t>
    </r>
    <r>
      <rPr>
        <sz val="11"/>
        <color theme="1"/>
        <rFont val="Arial"/>
        <family val="2"/>
      </rPr>
      <t>x=0</t>
    </r>
    <r>
      <rPr>
        <sz val="11"/>
        <color theme="1"/>
        <rFont val="Calibri"/>
        <family val="2"/>
        <scheme val="minor"/>
      </rPr>
      <t xml:space="preserve"> y </t>
    </r>
    <r>
      <rPr>
        <sz val="11"/>
        <color theme="1"/>
        <rFont val="Arial"/>
        <family val="2"/>
      </rPr>
      <t>x=8</t>
    </r>
  </si>
  <si>
    <r>
      <t xml:space="preserve">Las raíces se encuentran donde la gráfica de </t>
    </r>
    <r>
      <rPr>
        <sz val="11"/>
        <color theme="1"/>
        <rFont val="Arial"/>
        <family val="2"/>
      </rPr>
      <t>f(x) = x^3 - e^{0.8x} - 20</t>
    </r>
    <r>
      <rPr>
        <sz val="11"/>
        <color theme="1"/>
        <rFont val="Calibri"/>
        <family val="2"/>
        <scheme val="minor"/>
      </rPr>
      <t xml:space="preserve"> cruza el eje </t>
    </r>
    <r>
      <rPr>
        <sz val="11"/>
        <color theme="1"/>
        <rFont val="Arial"/>
        <family val="2"/>
      </rPr>
      <t>x</t>
    </r>
  </si>
  <si>
    <t>Búsqueda de Intervalos (Por Teorema de Bolzano). Evaluamos f(x)en los extremos del dominio y puntos intermedio</t>
  </si>
  <si>
    <t>Signo</t>
  </si>
  <si>
    <t>$-$</t>
  </si>
  <si>
    <t>$+$</t>
  </si>
  <si>
    <t>Iteración</t>
  </si>
  <si>
    <t>a</t>
  </si>
  <si>
    <t>b</t>
  </si>
  <si>
    <t>xr</t>
  </si>
  <si>
    <t>f(xr)</t>
  </si>
  <si>
    <t>Error Relativo (%)</t>
  </si>
  <si>
    <t>-</t>
  </si>
  <si>
    <t>0.00762</t>
  </si>
  <si>
    <t>-0.81169</t>
  </si>
  <si>
    <t>-0.40221</t>
  </si>
  <si>
    <t>0.93023</t>
  </si>
  <si>
    <t>-0.19830</t>
  </si>
  <si>
    <t>0.46729</t>
  </si>
  <si>
    <t>-0.09503</t>
  </si>
  <si>
    <t>0.23256</t>
  </si>
  <si>
    <t>-0.04374</t>
  </si>
  <si>
    <t>0.11585</t>
  </si>
  <si>
    <t>-0.01809</t>
  </si>
  <si>
    <t>0.05703</t>
  </si>
  <si>
    <t>-0.00523</t>
  </si>
  <si>
    <t>0.02844</t>
  </si>
  <si>
    <t>0.00119</t>
  </si>
  <si>
    <t>0.01420</t>
  </si>
  <si>
    <t>-0.00202</t>
  </si>
  <si>
    <t>0.00709</t>
  </si>
  <si>
    <t>-0.00041</t>
  </si>
  <si>
    <t>0.00354</t>
  </si>
  <si>
    <t>0.00039</t>
  </si>
  <si>
    <t>0.00177</t>
  </si>
  <si>
    <t>$-0.00001$</t>
  </si>
  <si>
    <t>0.00088</t>
  </si>
  <si>
    <t>xi</t>
  </si>
  <si>
    <t>f(xi)</t>
  </si>
  <si>
    <t>f'(xi)</t>
  </si>
  <si>
    <t>xi+1</t>
  </si>
  <si>
    <t>0.73038144</t>
  </si>
  <si>
    <t>0.86419</t>
  </si>
  <si>
    <t>0.00971439</t>
  </si>
  <si>
    <t>0.01202</t>
  </si>
  <si>
    <t>$1.8 \times 10^{-6}$</t>
  </si>
  <si>
    <t>$2.9 \times 10^{-5}$</t>
  </si>
  <si>
    <t>$0$</t>
  </si>
  <si>
    <r>
      <t>Raíz Aproximada por Newton-Raphson: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$\xi_1 \approx 3.404571$</t>
    </r>
  </si>
  <si>
    <t>xi-1</t>
  </si>
  <si>
    <t>f(xi-1)</t>
  </si>
  <si>
    <t>-0.09672671</t>
  </si>
  <si>
    <t>0.19154</t>
  </si>
  <si>
    <t>-0.00028247</t>
  </si>
  <si>
    <t>0.00056</t>
  </si>
  <si>
    <t>$1.4 \times 10^{-6}$</t>
  </si>
  <si>
    <r>
      <t>Raíz Aproximada por Secante: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$\xi_1 \approx 3.404571$</t>
    </r>
  </si>
  <si>
    <t>Como se determinó en el análisis gráfico, la función $f(x) = x^3 - e^{0.8x} - 20$ solo tiene una raíz real en el dominio $[0, 8]$.</t>
  </si>
  <si>
    <t>xr = (a+b)/2</t>
  </si>
  <si>
    <t xml:space="preserve">iteracion </t>
  </si>
  <si>
    <t>f(a)</t>
  </si>
  <si>
    <t>Fórmulas del Error Relativo Porcentual</t>
  </si>
  <si>
    <r>
      <t>Raíz Aproximada por Bisección: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Arial"/>
        <family val="2"/>
      </rPr>
      <t>x</t>
    </r>
    <r>
      <rPr>
        <sz val="8"/>
        <color theme="1"/>
        <rFont val="Arial"/>
        <family val="2"/>
      </rPr>
      <t>i1</t>
    </r>
    <r>
      <rPr>
        <sz val="11"/>
        <color theme="1"/>
        <rFont val="Arial"/>
        <family val="2"/>
      </rPr>
      <t xml:space="preserve"> approx 3.37442</t>
    </r>
  </si>
  <si>
    <t>Utilizaremos la función objetivo:</t>
  </si>
  <si>
    <t>Y su derivada (necesaria para Newton-Raphson):</t>
  </si>
  <si>
    <t>f(x) = x^3 - exp(0.8x) - 20</t>
  </si>
  <si>
    <t>f'(x) = 3x^2 - 0.8 exp(0.8x)</t>
  </si>
  <si>
    <r>
      <t xml:space="preserve">3. Método de la Secante (Raíz </t>
    </r>
    <r>
      <rPr>
        <b/>
        <sz val="20"/>
        <color theme="1"/>
        <rFont val="Arial"/>
        <family val="2"/>
      </rPr>
      <t>xi1)</t>
    </r>
  </si>
  <si>
    <r>
      <t xml:space="preserve">2. Método de Newton-Raphson (Raíz </t>
    </r>
    <r>
      <rPr>
        <b/>
        <sz val="20"/>
        <color theme="1"/>
        <rFont val="Arial"/>
        <family val="2"/>
      </rPr>
      <t>x</t>
    </r>
    <r>
      <rPr>
        <b/>
        <sz val="12"/>
        <color theme="1"/>
        <rFont val="Arial"/>
        <family val="2"/>
      </rPr>
      <t>i1</t>
    </r>
    <r>
      <rPr>
        <b/>
        <sz val="20"/>
        <color theme="1"/>
        <rFont val="Calibri"/>
        <family val="2"/>
        <scheme val="minor"/>
      </rPr>
      <t>)</t>
    </r>
  </si>
  <si>
    <r>
      <t xml:space="preserve">1.  Método de Bisección (Raíz </t>
    </r>
    <r>
      <rPr>
        <b/>
        <sz val="20"/>
        <color theme="1"/>
        <rFont val="Arial"/>
        <family val="2"/>
      </rPr>
      <t>xi1</t>
    </r>
    <r>
      <rPr>
        <b/>
        <sz val="20"/>
        <color theme="1"/>
        <rFont val="Calibri"/>
        <family val="2"/>
        <scheme val="minor"/>
      </rPr>
      <t>)</t>
    </r>
  </si>
  <si>
    <t>Para aplicar los métodos numéricos, definimos la función $f(x)$:</t>
  </si>
  <si>
    <t>Primero, debemos encontrar el intervalo donde $f(x)$ cambia de signo.</t>
  </si>
  <si>
    <t>Derivada y Análisis de Tendencia (Para Newton-Raphson y Secante)</t>
  </si>
  <si>
    <t>Necesitamos la primera derivada de $f(x)$:</t>
  </si>
  <si>
    <t>$$f'(x) = \frac{d}{dx} (3\sin(0.5x) - 0.5x + 2)$$</t>
  </si>
  <si>
    <t>$$f'(x) = 3 \cdot \cos(0.5x) \cdot 0.5 - 0.5$$</t>
  </si>
  <si>
    <t>$$f'(x) = 1.5\cos(0.5x) - 0.5$$</t>
  </si>
  <si>
    <t>Dado que el valor de $\cos(0.5x)$ oscila entre $-1$ y $1$:</t>
  </si>
  <si>
    <t>$f'(x)_{\text{máx}} = 1.5(1) - 0.5 = 1.0$</t>
  </si>
  <si>
    <t>$f'(x)_{\text{mín}} = 1.5(-1) - 0.5 = -2.0$</t>
  </si>
  <si>
    <r>
      <t xml:space="preserve">Como $f'(x)$ cambia de signo, la función $f(x)$ tiene máximos y mínimos, lo que indica que </t>
    </r>
    <r>
      <rPr>
        <b/>
        <sz val="11"/>
        <color theme="1"/>
        <rFont val="Arial"/>
        <family val="2"/>
      </rPr>
      <t>puede tener varias raíces</t>
    </r>
    <r>
      <rPr>
        <sz val="11"/>
        <color theme="1"/>
        <rFont val="Arial"/>
        <family val="2"/>
      </rPr>
      <t>. Necesitamos graficar o tabular para encontrar el intervalo.</t>
    </r>
  </si>
  <si>
    <t>Búsqueda de Intervalos (Teorema de Bolzano)</t>
  </si>
  <si>
    <t>Evaluamos $f(x)$ en varios puntos para encontrar un cambio de signo:</t>
  </si>
  <si>
    <t>f(x)=3sin(0.5x)−0.5x+2</t>
  </si>
  <si>
    <t>$3\sin(0) - 0 + 2 = 2$</t>
  </si>
  <si>
    <t>$3\sin(0.5) - 0.5 + 2 \approx 3(0.479) + 1.5 = 2.937$</t>
  </si>
  <si>
    <t>$3\sin(2.5) - 2.5 + 2 \approx 3(0.598) - 0.5 = 1.294$</t>
  </si>
  <si>
    <t>$3\sin(3) - 3 + 2 \approx 3(0.141) - 1 = -0.576$</t>
  </si>
  <si>
    <t>$3\sin(3.5) - 3.5 + 2 \approx 3(-0.350) - 1.5 = -2.550$</t>
  </si>
  <si>
    <r>
      <t xml:space="preserve">Observamos un cambio de signo </t>
    </r>
    <r>
      <rPr>
        <b/>
        <sz val="11"/>
        <color theme="1"/>
        <rFont val="Arial"/>
        <family val="2"/>
      </rPr>
      <t>entre $x=5$ y $x=6$</t>
    </r>
    <r>
      <rPr>
        <sz val="11"/>
        <color theme="1"/>
        <rFont val="Arial"/>
        <family val="2"/>
      </rPr>
      <t>, lo que garantiza una raíz ($\xi_1$) en el intervalo $[5, 6]$.</t>
    </r>
  </si>
  <si>
    <t>f(x) = 3*sin(0.5x) - 0.5x + 2</t>
  </si>
  <si>
    <t>Usaremos el intervalo [5, 6] o un punto inicial x_0 = 5.5 para encontrar la raíz xi1 approx 5.867</t>
  </si>
  <si>
    <t>1. Método de Bisección (Intervalo Inicial: [5.0, 6.0])</t>
  </si>
  <si>
    <r>
      <t xml:space="preserve">2. Método de Newton-Raphson (Punto Inicial: </t>
    </r>
    <r>
      <rPr>
        <b/>
        <sz val="20"/>
        <color theme="1"/>
        <rFont val="Arial"/>
        <family val="2"/>
      </rPr>
      <t>x0 = 5.5</t>
    </r>
    <r>
      <rPr>
        <b/>
        <sz val="20"/>
        <color theme="1"/>
        <rFont val="Calibri"/>
        <family val="2"/>
        <scheme val="minor"/>
      </rPr>
      <t>)</t>
    </r>
  </si>
  <si>
    <r>
      <t xml:space="preserve">3. Método de la Secante (Puntos Iniciales: </t>
    </r>
    <r>
      <rPr>
        <b/>
        <sz val="20"/>
        <color theme="1"/>
        <rFont val="Arial"/>
        <family val="2"/>
      </rPr>
      <t>x{-1}=6.0</t>
    </r>
    <r>
      <rPr>
        <b/>
        <sz val="20"/>
        <color theme="1"/>
        <rFont val="Calibri"/>
        <family val="2"/>
        <scheme val="minor"/>
      </rPr>
      <t xml:space="preserve">, </t>
    </r>
    <r>
      <rPr>
        <b/>
        <sz val="20"/>
        <color theme="1"/>
        <rFont val="Arial"/>
        <family val="2"/>
      </rPr>
      <t>x0=5.0</t>
    </r>
    <r>
      <rPr>
        <b/>
        <sz val="20"/>
        <color theme="1"/>
        <rFont val="Calibri"/>
        <family val="2"/>
        <scheme val="minor"/>
      </rPr>
      <t>)</t>
    </r>
  </si>
  <si>
    <t>iteracion</t>
  </si>
  <si>
    <t>Resultados y Comparación (Raíz $\xi_1$)</t>
  </si>
  <si>
    <t>Aplicando los métodos con las fórmulas anteriores (buscando una $\epsilon_a &lt; 10^{-5}$):</t>
  </si>
  <si>
    <t>Solución Exacta (Alta Precisión)</t>
  </si>
  <si>
    <t>Utilizando un software de alta precisión:</t>
  </si>
  <si>
    <t>Método</t>
  </si>
  <si>
    <t>Raíz Aproximada (con ϵa​&lt;10−5)</t>
  </si>
  <si>
    <t>Iteraciones Requeridas</t>
  </si>
  <si>
    <t>Velocidad de Convergencia</t>
  </si>
  <si>
    <t>Bisección</t>
  </si>
  <si>
    <t>Lineal (Lenta)</t>
  </si>
  <si>
    <t>Newton-Raphson</t>
  </si>
  <si>
    <t>Cuadrática (Muy rápida)</t>
  </si>
  <si>
    <t>Secante</t>
  </si>
  <si>
    <t>Superlineal (Rápida)</t>
  </si>
  <si>
    <t>approx 5.867252</t>
  </si>
  <si>
    <t>approx 5.86725204</t>
  </si>
  <si>
    <t>xi1 approx 5.86725204</t>
  </si>
  <si>
    <r>
      <t xml:space="preserve">El método de </t>
    </r>
    <r>
      <rPr>
        <b/>
        <sz val="11"/>
        <color theme="1"/>
        <rFont val="Calibri"/>
        <family val="2"/>
        <scheme val="minor"/>
      </rPr>
      <t>Newton-Raphson</t>
    </r>
    <r>
      <rPr>
        <sz val="11"/>
        <color theme="1"/>
        <rFont val="Calibri"/>
        <family val="2"/>
        <scheme val="minor"/>
      </rPr>
      <t xml:space="preserve"> es nuevamente el más eficiente, encontrando la solución con alta precisión en solo 4 pasos.</t>
    </r>
  </si>
  <si>
    <t>La función a resolver es $f(x)=0$:</t>
  </si>
  <si>
    <t>$$f(x) = x^3 - x^2 e^{-0.5x} - 3x + 1$$</t>
  </si>
  <si>
    <t>La derivada $f'(x)$ es necesaria para el Método de Newton-Raphson:</t>
  </si>
  <si>
    <t>$$f'(x) = 3x^2 - 2xe^{-0.5x} + 0.5x^2e^{-0.5x} - 3$$</t>
  </si>
  <si>
    <t>Búsqueda de Intervalos (Raíces)</t>
  </si>
  <si>
    <t>La función, al ser de tipo cúbico, tiene hasta tres raíces reales. Nos enfocaremos en la raíz $\xi_1$ que se encuentra más cerca del origen.</t>
  </si>
  <si>
    <t>Análisis y Fórmulas de la Función</t>
  </si>
  <si>
    <t>f(x)=x3−x2e−0.5x−3x+1</t>
  </si>
  <si>
    <t>$1$</t>
  </si>
  <si>
    <t>$\approx -2.6065$</t>
  </si>
  <si>
    <r>
      <t xml:space="preserve">Confirmamos que la </t>
    </r>
    <r>
      <rPr>
        <b/>
        <sz val="11"/>
        <color theme="1"/>
        <rFont val="Arial"/>
        <family val="2"/>
      </rPr>
      <t>Primera Raíz (xi1)</t>
    </r>
    <r>
      <rPr>
        <sz val="11"/>
        <color theme="1"/>
        <rFont val="Calibri"/>
        <family val="2"/>
        <scheme val="minor"/>
      </rPr>
      <t xml:space="preserve"> se encuentra en el intervalo </t>
    </r>
    <r>
      <rPr>
        <b/>
        <sz val="11"/>
        <color theme="1"/>
        <rFont val="Arial"/>
        <family val="2"/>
      </rPr>
      <t>[0, 1]</t>
    </r>
    <r>
      <rPr>
        <sz val="11"/>
        <color theme="1"/>
        <rFont val="Calibri"/>
        <family val="2"/>
        <scheme val="minor"/>
      </rPr>
      <t xml:space="preserve">. Usaremos este intervalo y el punto inicial </t>
    </r>
    <r>
      <rPr>
        <sz val="11"/>
        <color theme="1"/>
        <rFont val="Arial"/>
        <family val="2"/>
      </rPr>
      <t>x_0 = 0.5</t>
    </r>
    <r>
      <rPr>
        <sz val="11"/>
        <color theme="1"/>
        <rFont val="Calibri"/>
        <family val="2"/>
        <scheme val="minor"/>
      </rPr>
      <t xml:space="preserve"> para las tablas.</t>
    </r>
  </si>
  <si>
    <r>
      <t xml:space="preserve">1. Método de Bisección (Intervalo Inicial: </t>
    </r>
    <r>
      <rPr>
        <b/>
        <sz val="20"/>
        <color theme="1"/>
        <rFont val="Arial"/>
        <family val="2"/>
      </rPr>
      <t>[0.0, 1.0]</t>
    </r>
    <r>
      <rPr>
        <b/>
        <sz val="20"/>
        <color theme="1"/>
        <rFont val="Calibri"/>
        <family val="2"/>
        <scheme val="minor"/>
      </rPr>
      <t>)</t>
    </r>
  </si>
  <si>
    <r>
      <t xml:space="preserve">2. Método de Newton-Raphson (Punto Inicial: </t>
    </r>
    <r>
      <rPr>
        <b/>
        <sz val="20"/>
        <color theme="1"/>
        <rFont val="Arial"/>
        <family val="2"/>
      </rPr>
      <t>$x_0 = 0.5$</t>
    </r>
    <r>
      <rPr>
        <b/>
        <sz val="20"/>
        <color theme="1"/>
        <rFont val="Calibri"/>
        <family val="2"/>
        <scheme val="minor"/>
      </rPr>
      <t>)</t>
    </r>
  </si>
  <si>
    <t>Iteracion</t>
  </si>
  <si>
    <r>
      <t xml:space="preserve">3. Método de la Secante (Puntos Iniciales: </t>
    </r>
    <r>
      <rPr>
        <b/>
        <sz val="20"/>
        <color theme="1"/>
        <rFont val="Arial"/>
        <family val="2"/>
      </rPr>
      <t>x{-1}=1.0</t>
    </r>
    <r>
      <rPr>
        <b/>
        <sz val="20"/>
        <color theme="1"/>
        <rFont val="Calibri"/>
        <family val="2"/>
        <scheme val="minor"/>
      </rPr>
      <t xml:space="preserve">, </t>
    </r>
    <r>
      <rPr>
        <b/>
        <sz val="20"/>
        <color theme="1"/>
        <rFont val="Arial"/>
        <family val="2"/>
      </rPr>
      <t>x0=0,0</t>
    </r>
    <r>
      <rPr>
        <b/>
        <sz val="20"/>
        <color theme="1"/>
        <rFont val="Calibri"/>
        <family val="2"/>
        <scheme val="minor"/>
      </rPr>
      <t>)</t>
    </r>
  </si>
  <si>
    <t>La primera raíz (la que estamos buscando en $[0, 1]$) es:</t>
  </si>
  <si>
    <t>xi1 approx 0.35411709</t>
  </si>
  <si>
    <t>$\approx 0.354116$</t>
  </si>
  <si>
    <t>Lineal (Lenta, pero garantizada)</t>
  </si>
  <si>
    <t>$\approx 0.35411709$</t>
  </si>
  <si>
    <t>1.0</t>
  </si>
  <si>
    <r>
      <t>Nota sobre las Otras Raíces:</t>
    </r>
    <r>
      <rPr>
        <sz val="11"/>
        <color theme="1"/>
        <rFont val="Arial"/>
        <family val="2"/>
      </rPr>
      <t xml:space="preserve"> Como se determinó en el análisis inicial, esta función tiene al menos </t>
    </r>
    <r>
      <rPr>
        <b/>
        <sz val="11"/>
        <color theme="1"/>
        <rFont val="Arial"/>
        <family val="2"/>
      </rPr>
      <t>tres raíces</t>
    </r>
    <r>
      <rPr>
        <sz val="11"/>
        <color theme="1"/>
        <rFont val="Arial"/>
        <family val="2"/>
      </rPr>
      <t xml:space="preserve"> reales ($\xi_1 \in [0, 1]$, $\xi_2 \in [1, 2]$ y $\xi_3 \in [-2, -1]$). Puedes encontrar las otras dos simplemente cambiando el intervalo inicial para Bisección, o el punto inicial para Newton-Raphson y Secante.</t>
    </r>
  </si>
  <si>
    <r>
      <t xml:space="preserve">l </t>
    </r>
    <r>
      <rPr>
        <b/>
        <sz val="11"/>
        <color theme="1"/>
        <rFont val="Arial"/>
        <family val="2"/>
      </rPr>
      <t>Método de Newton-Raphson</t>
    </r>
    <r>
      <rPr>
        <sz val="11"/>
        <color theme="1"/>
        <rFont val="Arial"/>
        <family val="2"/>
      </rPr>
      <t xml:space="preserve"> es el más rápido para este ejercicio, seguido muy de cerca por el Método de la Secante.</t>
    </r>
  </si>
  <si>
    <t>Para aplicar los métodos, definimos la función $f(x)$:</t>
  </si>
  <si>
    <t>$$f(x) = e^{-x} - \ln(x)$$</t>
  </si>
  <si>
    <t>La ecuación $e^{-x} = \ln(x)$ solo tiene sentido para $x &gt; 0$.</t>
  </si>
  <si>
    <t>Función y Derivada (Para Newton-Raphson)</t>
  </si>
  <si>
    <t>f'(x) = -e^{-x} - 1/x}</t>
  </si>
  <si>
    <t>f(x) = e^{-x} - ln(x)</t>
  </si>
  <si>
    <t>Búsqueda de Intervalos</t>
  </si>
  <si>
    <t>Evaluamos $f(x)$ para encontrar un cambio de signo:</t>
  </si>
  <si>
    <t>f(x)=e−x−ln(x)</t>
  </si>
  <si>
    <t>2.0</t>
  </si>
  <si>
    <t>e^{-1} - ln(1) approx 0.3679</t>
  </si>
  <si>
    <t>e^{-2}-ln(2) approx -0.5578</t>
  </si>
  <si>
    <r>
      <t xml:space="preserve">Confirmamos que la raíz </t>
    </r>
    <r>
      <rPr>
        <sz val="11"/>
        <color theme="1"/>
        <rFont val="Arial"/>
        <family val="2"/>
      </rPr>
      <t>$\xi_1$</t>
    </r>
    <r>
      <rPr>
        <sz val="11"/>
        <color theme="1"/>
        <rFont val="Calibri"/>
        <family val="2"/>
        <scheme val="minor"/>
      </rPr>
      <t xml:space="preserve"> se encuentra en el intervalo </t>
    </r>
    <r>
      <rPr>
        <b/>
        <sz val="11"/>
        <color theme="1"/>
        <rFont val="Arial"/>
        <family val="2"/>
      </rPr>
      <t>$[1.0, 2.0]$</t>
    </r>
    <r>
      <rPr>
        <sz val="11"/>
        <color theme="1"/>
        <rFont val="Calibri"/>
        <family val="2"/>
        <scheme val="minor"/>
      </rPr>
      <t xml:space="preserve">. Usaremos este intervalo y el punto inicial </t>
    </r>
    <r>
      <rPr>
        <sz val="11"/>
        <color theme="1"/>
        <rFont val="Arial"/>
        <family val="2"/>
      </rPr>
      <t>$x_0 = 1.5$</t>
    </r>
    <r>
      <rPr>
        <sz val="11"/>
        <color theme="1"/>
        <rFont val="Calibri"/>
        <family val="2"/>
        <scheme val="minor"/>
      </rPr>
      <t>.</t>
    </r>
  </si>
  <si>
    <r>
      <t xml:space="preserve">1. Método de Bisección (Intervalo Inicial: </t>
    </r>
    <r>
      <rPr>
        <b/>
        <sz val="20"/>
        <color theme="1"/>
        <rFont val="Arial"/>
        <family val="2"/>
      </rPr>
      <t>$[1.0, 2.0]$</t>
    </r>
    <r>
      <rPr>
        <b/>
        <sz val="20"/>
        <color theme="1"/>
        <rFont val="Calibri"/>
        <family val="2"/>
        <scheme val="minor"/>
      </rPr>
      <t>)</t>
    </r>
  </si>
  <si>
    <r>
      <t xml:space="preserve">2. Método de Newton-Raphson (Punto Inicial: </t>
    </r>
    <r>
      <rPr>
        <b/>
        <sz val="20"/>
        <color theme="1"/>
        <rFont val="Arial"/>
        <family val="2"/>
      </rPr>
      <t>$x_0 = 1.5$</t>
    </r>
    <r>
      <rPr>
        <b/>
        <sz val="20"/>
        <color theme="1"/>
        <rFont val="Calibri"/>
        <family val="2"/>
        <scheme val="minor"/>
      </rPr>
      <t>)</t>
    </r>
  </si>
  <si>
    <t xml:space="preserve">Iteracion </t>
  </si>
  <si>
    <r>
      <t xml:space="preserve">3. Método de la Secante (Puntos Iniciales: </t>
    </r>
    <r>
      <rPr>
        <b/>
        <sz val="20"/>
        <color theme="1"/>
        <rFont val="Arial"/>
        <family val="2"/>
      </rPr>
      <t>$x_{-1}=2.0$</t>
    </r>
    <r>
      <rPr>
        <b/>
        <sz val="20"/>
        <color theme="1"/>
        <rFont val="Calibri"/>
        <family val="2"/>
        <scheme val="minor"/>
      </rPr>
      <t xml:space="preserve">, </t>
    </r>
    <r>
      <rPr>
        <b/>
        <sz val="20"/>
        <color theme="1"/>
        <rFont val="Arial"/>
        <family val="2"/>
      </rPr>
      <t>$x_0=1.0$</t>
    </r>
    <r>
      <rPr>
        <b/>
        <sz val="20"/>
        <color theme="1"/>
        <rFont val="Calibri"/>
        <family val="2"/>
        <scheme val="minor"/>
      </rPr>
      <t>)</t>
    </r>
  </si>
  <si>
    <t>Utilizando un software de alta precisión, la raíz es:</t>
  </si>
  <si>
    <t>xi1 approx 1.310433721</t>
  </si>
  <si>
    <t>Resultados de convergencia:</t>
  </si>
  <si>
    <t>Lineal (Lenta, requiere muchas iteraciones)</t>
  </si>
  <si>
    <t>Cuadrática (Extremadamente rápida)</t>
  </si>
  <si>
    <t>Superlineal (Rápida, no necesita la derivada)</t>
  </si>
  <si>
    <t>approx 1.310431</t>
  </si>
  <si>
    <t>approx 1.310433721</t>
  </si>
  <si>
    <r>
      <t>Método de Newton-Raphson</t>
    </r>
    <r>
      <rPr>
        <sz val="11"/>
        <color theme="1"/>
        <rFont val="Calibri"/>
        <family val="2"/>
        <scheme val="minor"/>
      </rPr>
      <t xml:space="preserve"> es el más rápido para este ejercicio, seguido por la Secante. La </t>
    </r>
    <r>
      <rPr>
        <b/>
        <sz val="11"/>
        <color theme="1"/>
        <rFont val="Calibri"/>
        <family val="2"/>
        <scheme val="minor"/>
      </rPr>
      <t>Bisección</t>
    </r>
    <r>
      <rPr>
        <sz val="11"/>
        <color theme="1"/>
        <rFont val="Calibri"/>
        <family val="2"/>
        <scheme val="minor"/>
      </rPr>
      <t xml:space="preserve"> es el más lento, pero el único que garantiza que no diverge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</si>
</sst>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0.0000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b/>
      <sz val="13.5"/>
      <color theme="1"/>
      <name val="Arial"/>
      <family val="2"/>
    </font>
    <font>
      <b/>
      <sz val="18"/>
      <color theme="1"/>
      <name val="Arial"/>
      <family val="2"/>
    </font>
    <font>
      <b/>
      <sz val="2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2" borderId="1" xfId="0" applyFill="1" applyBorder="1"/>
    <xf numFmtId="167" fontId="0" fillId="2" borderId="1" xfId="0" applyNumberFormat="1" applyFill="1" applyBorder="1"/>
    <xf numFmtId="0" fontId="0" fillId="3" borderId="1" xfId="0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3" fontId="3" fillId="0" borderId="2" xfId="0" applyNumberFormat="1" applyFont="1" applyBorder="1" applyAlignment="1">
      <alignment horizontal="left" vertical="center" wrapText="1" indent="1" readingOrder="1"/>
    </xf>
    <xf numFmtId="3" fontId="4" fillId="0" borderId="2" xfId="0" applyNumberFormat="1" applyFont="1" applyBorder="1" applyAlignment="1">
      <alignment horizontal="left" vertical="center" wrapText="1" indent="1" readingOrder="1"/>
    </xf>
    <xf numFmtId="0" fontId="5" fillId="0" borderId="0" xfId="0" applyFont="1"/>
    <xf numFmtId="0" fontId="2" fillId="0" borderId="1" xfId="0" applyFont="1" applyBorder="1"/>
    <xf numFmtId="165" fontId="0" fillId="0" borderId="1" xfId="0" applyNumberFormat="1" applyBorder="1"/>
    <xf numFmtId="166" fontId="0" fillId="0" borderId="1" xfId="0" applyNumberFormat="1" applyBorder="1"/>
    <xf numFmtId="166" fontId="2" fillId="0" borderId="1" xfId="0" applyNumberFormat="1" applyFont="1" applyBorder="1"/>
    <xf numFmtId="0" fontId="0" fillId="4" borderId="0" xfId="0" applyFill="1"/>
    <xf numFmtId="0" fontId="8" fillId="4" borderId="0" xfId="0" applyFont="1" applyFill="1"/>
    <xf numFmtId="0" fontId="1" fillId="0" borderId="0" xfId="0" applyFont="1"/>
    <xf numFmtId="0" fontId="1" fillId="0" borderId="1" xfId="0" applyFont="1" applyBorder="1"/>
    <xf numFmtId="0" fontId="4" fillId="5" borderId="3" xfId="0" applyFont="1" applyFill="1" applyBorder="1" applyAlignment="1">
      <alignment horizontal="left" vertical="center" wrapText="1" indent="1" readingOrder="1"/>
    </xf>
    <xf numFmtId="0" fontId="9" fillId="4" borderId="0" xfId="0" applyFont="1" applyFill="1"/>
    <xf numFmtId="0" fontId="6" fillId="0" borderId="1" xfId="0" applyFont="1" applyBorder="1"/>
    <xf numFmtId="0" fontId="4" fillId="6" borderId="3" xfId="0" applyFont="1" applyFill="1" applyBorder="1" applyAlignment="1">
      <alignment horizontal="left" vertical="center" wrapText="1" indent="1" readingOrder="1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0" fontId="0" fillId="0" borderId="1" xfId="0" applyFont="1" applyBorder="1"/>
    <xf numFmtId="0" fontId="2" fillId="7" borderId="1" xfId="0" applyFont="1" applyFill="1" applyBorder="1" applyAlignment="1">
      <alignment vertical="center"/>
    </xf>
    <xf numFmtId="0" fontId="0" fillId="7" borderId="1" xfId="0" applyFont="1" applyFill="1" applyBorder="1"/>
    <xf numFmtId="0" fontId="0" fillId="7" borderId="1" xfId="0" applyFill="1" applyBorder="1"/>
    <xf numFmtId="0" fontId="14" fillId="4" borderId="0" xfId="0" applyFont="1" applyFill="1"/>
    <xf numFmtId="0" fontId="0" fillId="8" borderId="1" xfId="0" applyFill="1" applyBorder="1"/>
    <xf numFmtId="0" fontId="0" fillId="9" borderId="1" xfId="0" applyFill="1" applyBorder="1"/>
    <xf numFmtId="0" fontId="13" fillId="0" borderId="0" xfId="0" applyFont="1" applyAlignment="1">
      <alignment vertical="center"/>
    </xf>
    <xf numFmtId="0" fontId="4" fillId="0" borderId="2" xfId="0" applyFont="1" applyBorder="1" applyAlignment="1">
      <alignment horizontal="right" vertical="center" wrapText="1" indent="1" readingOrder="1"/>
    </xf>
    <xf numFmtId="0" fontId="3" fillId="0" borderId="2" xfId="0" applyFont="1" applyBorder="1" applyAlignment="1">
      <alignment horizontal="right" vertical="center" wrapText="1" indent="1" readingOrder="1"/>
    </xf>
    <xf numFmtId="0" fontId="9" fillId="4" borderId="4" xfId="0" applyFont="1" applyFill="1" applyBorder="1"/>
    <xf numFmtId="0" fontId="5" fillId="0" borderId="0" xfId="0" applyFont="1" applyAlignment="1">
      <alignment horizontal="left" vertical="center" indent="1"/>
    </xf>
    <xf numFmtId="0" fontId="1" fillId="4" borderId="0" xfId="0" applyFont="1" applyFill="1"/>
    <xf numFmtId="0" fontId="0" fillId="10" borderId="1" xfId="0" applyFill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8FB0017-5ECE-1255-5593-2104F2AC7A88}"/>
            </a:ext>
          </a:extLst>
        </xdr:cNvPr>
        <xdr:cNvSpPr>
          <a:spLocks noChangeAspect="1" noChangeArrowheads="1"/>
        </xdr:cNvSpPr>
      </xdr:nvSpPr>
      <xdr:spPr bwMode="auto">
        <a:xfrm>
          <a:off x="38100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557212</xdr:colOff>
      <xdr:row>0</xdr:row>
      <xdr:rowOff>35719</xdr:rowOff>
    </xdr:from>
    <xdr:to>
      <xdr:col>8</xdr:col>
      <xdr:colOff>77981</xdr:colOff>
      <xdr:row>3</xdr:row>
      <xdr:rowOff>121444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9EC7D6-ED39-1C68-5B5A-4DBBD14BEF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9" t="28509" r="14703" b="51671"/>
        <a:stretch/>
      </xdr:blipFill>
      <xdr:spPr>
        <a:xfrm>
          <a:off x="5641181" y="35719"/>
          <a:ext cx="5241925" cy="800100"/>
        </a:xfrm>
        <a:prstGeom prst="rect">
          <a:avLst/>
        </a:prstGeom>
      </xdr:spPr>
    </xdr:pic>
    <xdr:clientData/>
  </xdr:twoCellAnchor>
  <xdr:twoCellAnchor editAs="oneCell">
    <xdr:from>
      <xdr:col>17</xdr:col>
      <xdr:colOff>8267</xdr:colOff>
      <xdr:row>7</xdr:row>
      <xdr:rowOff>238124</xdr:rowOff>
    </xdr:from>
    <xdr:to>
      <xdr:col>23</xdr:col>
      <xdr:colOff>390525</xdr:colOff>
      <xdr:row>12</xdr:row>
      <xdr:rowOff>66676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91A2B-AFE9-F353-4C6A-CCA68281FD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4102" t="20829" r="20185" b="67692"/>
        <a:stretch/>
      </xdr:blipFill>
      <xdr:spPr>
        <a:xfrm>
          <a:off x="17667617" y="1581149"/>
          <a:ext cx="4954258" cy="8953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723901</xdr:colOff>
      <xdr:row>0</xdr:row>
      <xdr:rowOff>0</xdr:rowOff>
    </xdr:from>
    <xdr:to>
      <xdr:col>12</xdr:col>
      <xdr:colOff>704851</xdr:colOff>
      <xdr:row>1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47DA44-94CA-40B2-86C0-D6F6B0F91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9" t="50688" r="24122" b="40818"/>
        <a:stretch/>
      </xdr:blipFill>
      <xdr:spPr>
        <a:xfrm>
          <a:off x="7581901" y="0"/>
          <a:ext cx="4552950" cy="342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</xdr:colOff>
      <xdr:row>0</xdr:row>
      <xdr:rowOff>0</xdr:rowOff>
    </xdr:from>
    <xdr:to>
      <xdr:col>16</xdr:col>
      <xdr:colOff>123825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93ABCB-2188-4FAF-AFF7-AF51EF9811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9" t="59182" r="14703" b="30436"/>
        <a:stretch/>
      </xdr:blipFill>
      <xdr:spPr>
        <a:xfrm>
          <a:off x="7677150" y="0"/>
          <a:ext cx="5229225" cy="419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9525</xdr:rowOff>
    </xdr:from>
    <xdr:to>
      <xdr:col>12</xdr:col>
      <xdr:colOff>704850</xdr:colOff>
      <xdr:row>1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F48891-CAD7-40B8-8AFF-E0B650DA83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469" t="69799" r="14703" b="23358"/>
        <a:stretch/>
      </xdr:blipFill>
      <xdr:spPr>
        <a:xfrm>
          <a:off x="4648200" y="9525"/>
          <a:ext cx="5229225" cy="276225"/>
        </a:xfrm>
        <a:prstGeom prst="rect">
          <a:avLst/>
        </a:prstGeom>
      </xdr:spPr>
    </xdr:pic>
    <xdr:clientData/>
  </xdr:twoCellAnchor>
  <xdr:twoCellAnchor editAs="oneCell">
    <xdr:from>
      <xdr:col>15</xdr:col>
      <xdr:colOff>426313</xdr:colOff>
      <xdr:row>61</xdr:row>
      <xdr:rowOff>76201</xdr:rowOff>
    </xdr:from>
    <xdr:to>
      <xdr:col>20</xdr:col>
      <xdr:colOff>289109</xdr:colOff>
      <xdr:row>67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778FAE-7257-418A-624B-7371F053EF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810" t="25675" r="2197" b="14123"/>
        <a:stretch/>
      </xdr:blipFill>
      <xdr:spPr>
        <a:xfrm>
          <a:off x="15075763" y="12525376"/>
          <a:ext cx="3672796" cy="2181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="115" zoomScaleNormal="115" workbookViewId="0">
      <selection activeCell="B9" sqref="B9"/>
    </sheetView>
  </sheetViews>
  <sheetFormatPr baseColWidth="10" defaultColWidth="9.140625" defaultRowHeight="15" x14ac:dyDescent="0.25"/>
  <cols>
    <col min="2" max="2" width="28.710937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2">
        <v>0</v>
      </c>
      <c r="B2" s="2">
        <f>+A2^3-EXP(0.8*A2)-20</f>
        <v>-21</v>
      </c>
    </row>
    <row r="3" spans="1:2" x14ac:dyDescent="0.25">
      <c r="A3" s="2">
        <v>0.5</v>
      </c>
      <c r="B3" s="3">
        <f t="shared" ref="B3:B18" si="0">+A3^3-EXP(0.8*A3)-20</f>
        <v>-21.36682469764127</v>
      </c>
    </row>
    <row r="4" spans="1:2" x14ac:dyDescent="0.25">
      <c r="A4" s="2">
        <v>1</v>
      </c>
      <c r="B4" s="3">
        <f t="shared" si="0"/>
        <v>-21.225540928492467</v>
      </c>
    </row>
    <row r="5" spans="1:2" x14ac:dyDescent="0.25">
      <c r="A5" s="2">
        <v>1.5</v>
      </c>
      <c r="B5" s="3">
        <f t="shared" si="0"/>
        <v>-19.945116922736549</v>
      </c>
    </row>
    <row r="6" spans="1:2" x14ac:dyDescent="0.25">
      <c r="A6" s="2">
        <v>2</v>
      </c>
      <c r="B6" s="3">
        <f t="shared" si="0"/>
        <v>-16.953032424395115</v>
      </c>
    </row>
    <row r="7" spans="1:2" x14ac:dyDescent="0.25">
      <c r="A7" s="2">
        <v>2.5</v>
      </c>
      <c r="B7" s="3">
        <f t="shared" si="0"/>
        <v>-11.76405609893065</v>
      </c>
    </row>
    <row r="8" spans="1:2" x14ac:dyDescent="0.25">
      <c r="A8" s="2">
        <v>3</v>
      </c>
      <c r="B8" s="3">
        <f t="shared" si="0"/>
        <v>-4.0231763806416048</v>
      </c>
    </row>
    <row r="9" spans="1:2" x14ac:dyDescent="0.25">
      <c r="A9" s="2">
        <v>3.5</v>
      </c>
      <c r="B9" s="3">
        <f t="shared" si="0"/>
        <v>6.4303532289029448</v>
      </c>
    </row>
    <row r="10" spans="1:2" x14ac:dyDescent="0.25">
      <c r="A10" s="2">
        <v>4</v>
      </c>
      <c r="B10" s="3">
        <f t="shared" si="0"/>
        <v>19.467469802890648</v>
      </c>
    </row>
    <row r="11" spans="1:2" x14ac:dyDescent="0.25">
      <c r="A11" s="2">
        <v>4.5</v>
      </c>
      <c r="B11" s="3">
        <f t="shared" si="0"/>
        <v>34.526765556322012</v>
      </c>
    </row>
    <row r="12" spans="1:2" x14ac:dyDescent="0.25">
      <c r="A12" s="2">
        <v>5</v>
      </c>
      <c r="B12" s="3">
        <f t="shared" si="0"/>
        <v>50.401849966855764</v>
      </c>
    </row>
    <row r="13" spans="1:2" x14ac:dyDescent="0.25">
      <c r="A13" s="2">
        <v>5.5</v>
      </c>
      <c r="B13" s="3">
        <f t="shared" si="0"/>
        <v>64.924131335031859</v>
      </c>
    </row>
    <row r="14" spans="1:2" x14ac:dyDescent="0.25">
      <c r="A14" s="2">
        <v>6</v>
      </c>
      <c r="B14" s="3">
        <f t="shared" si="0"/>
        <v>74.489582481265032</v>
      </c>
    </row>
    <row r="15" spans="1:2" x14ac:dyDescent="0.25">
      <c r="A15" s="2">
        <v>6.5</v>
      </c>
      <c r="B15" s="3">
        <f t="shared" si="0"/>
        <v>73.352758124848776</v>
      </c>
    </row>
    <row r="16" spans="1:2" x14ac:dyDescent="0.25">
      <c r="A16" s="2">
        <v>7</v>
      </c>
      <c r="B16" s="3">
        <f t="shared" si="0"/>
        <v>52.573592573847236</v>
      </c>
    </row>
    <row r="17" spans="1:2" x14ac:dyDescent="0.25">
      <c r="A17" s="2">
        <v>7.5</v>
      </c>
      <c r="B17" s="3">
        <f t="shared" si="0"/>
        <v>-1.5537934927351102</v>
      </c>
    </row>
    <row r="18" spans="1:2" x14ac:dyDescent="0.25">
      <c r="A18" s="2">
        <v>8</v>
      </c>
      <c r="B18" s="3">
        <f t="shared" si="0"/>
        <v>-109.84503787208223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5157E-1713-4037-A94C-B639B8512EB5}">
  <dimension ref="A1:R67"/>
  <sheetViews>
    <sheetView zoomScale="82" zoomScaleNormal="82" workbookViewId="0">
      <selection activeCell="A22" sqref="A22"/>
    </sheetView>
  </sheetViews>
  <sheetFormatPr baseColWidth="10" defaultRowHeight="15" x14ac:dyDescent="0.25"/>
  <cols>
    <col min="2" max="2" width="27" customWidth="1"/>
    <col min="3" max="3" width="18.7109375" customWidth="1"/>
    <col min="4" max="4" width="19.140625" customWidth="1"/>
    <col min="5" max="5" width="17.7109375" customWidth="1"/>
    <col min="6" max="6" width="32.85546875" customWidth="1"/>
    <col min="7" max="7" width="23.7109375" customWidth="1"/>
    <col min="11" max="11" width="16.7109375" customWidth="1"/>
    <col min="12" max="12" width="18.5703125" customWidth="1"/>
    <col min="13" max="13" width="18.28515625" customWidth="1"/>
    <col min="14" max="14" width="17.42578125" customWidth="1"/>
    <col min="15" max="15" width="21.7109375" customWidth="1"/>
    <col min="16" max="16" width="28" customWidth="1"/>
  </cols>
  <sheetData>
    <row r="1" spans="1:18" ht="26.25" x14ac:dyDescent="0.4">
      <c r="A1" s="21" t="s">
        <v>73</v>
      </c>
      <c r="B1" s="17"/>
      <c r="C1" s="16"/>
    </row>
    <row r="2" spans="1:18" x14ac:dyDescent="0.25">
      <c r="A2" t="s">
        <v>2</v>
      </c>
    </row>
    <row r="3" spans="1:18" x14ac:dyDescent="0.25">
      <c r="A3" s="6" t="s">
        <v>3</v>
      </c>
    </row>
    <row r="4" spans="1:18" x14ac:dyDescent="0.25">
      <c r="A4" t="s">
        <v>4</v>
      </c>
    </row>
    <row r="5" spans="1:18" ht="15.75" thickBot="1" x14ac:dyDescent="0.3">
      <c r="A5" t="s">
        <v>5</v>
      </c>
      <c r="K5" t="s">
        <v>6</v>
      </c>
    </row>
    <row r="6" spans="1:18" ht="15.75" thickBot="1" x14ac:dyDescent="0.3">
      <c r="A6" s="4" t="s">
        <v>63</v>
      </c>
      <c r="B6" s="4" t="s">
        <v>11</v>
      </c>
      <c r="C6" s="4" t="s">
        <v>12</v>
      </c>
      <c r="D6" s="4" t="s">
        <v>62</v>
      </c>
      <c r="E6" s="4" t="s">
        <v>64</v>
      </c>
      <c r="F6" s="4" t="s">
        <v>14</v>
      </c>
      <c r="G6" s="4" t="s">
        <v>15</v>
      </c>
      <c r="K6" s="7" t="s">
        <v>10</v>
      </c>
      <c r="L6" s="7" t="s">
        <v>11</v>
      </c>
      <c r="M6" s="7" t="s">
        <v>12</v>
      </c>
      <c r="N6" s="7" t="s">
        <v>13</v>
      </c>
      <c r="O6" s="7" t="s">
        <v>14</v>
      </c>
      <c r="P6" s="7" t="s">
        <v>15</v>
      </c>
    </row>
    <row r="7" spans="1:18" ht="15.75" thickBot="1" x14ac:dyDescent="0.3">
      <c r="A7" s="1">
        <v>0</v>
      </c>
      <c r="B7" s="1">
        <v>3</v>
      </c>
      <c r="C7" s="1">
        <v>4</v>
      </c>
      <c r="D7" s="1">
        <f>(B7+C7)/2</f>
        <v>3.5</v>
      </c>
      <c r="E7" s="14">
        <f>+B7^3-EXP(0.8*B7)-20</f>
        <v>-4.0231763806416048</v>
      </c>
      <c r="F7" s="15">
        <f>+D7^3-EXP(0.8*D7)-20</f>
        <v>6.4303532289029448</v>
      </c>
      <c r="G7" s="1"/>
      <c r="K7" s="8">
        <v>0</v>
      </c>
      <c r="L7" s="9">
        <v>300000</v>
      </c>
      <c r="M7" s="9">
        <v>400000</v>
      </c>
      <c r="N7" s="9">
        <v>350000</v>
      </c>
      <c r="O7" s="9">
        <v>173832</v>
      </c>
      <c r="P7" s="8" t="s">
        <v>16</v>
      </c>
    </row>
    <row r="8" spans="1:18" ht="21" customHeight="1" thickBot="1" x14ac:dyDescent="0.3">
      <c r="A8" s="1">
        <f>A7+1</f>
        <v>1</v>
      </c>
      <c r="B8" s="1">
        <f>+IF(F7*E7&lt;0,B7,D7)</f>
        <v>3</v>
      </c>
      <c r="C8" s="1">
        <f>IF(F7*E7 &lt; 0, D7, C7)</f>
        <v>3.5</v>
      </c>
      <c r="D8" s="1">
        <f>(B8+C8)/2</f>
        <v>3.25</v>
      </c>
      <c r="E8" s="14">
        <f>+B8^3-EXP(0.8*B8)-20</f>
        <v>-4.0231763806416048</v>
      </c>
      <c r="F8" s="15">
        <f>D8^3-EXP(0.8*D8)-20</f>
        <v>0.86438696499831025</v>
      </c>
      <c r="G8" s="13">
        <f>+ABS((D8-D7)/D8)*100</f>
        <v>7.6923076923076925</v>
      </c>
      <c r="K8" s="8">
        <v>1</v>
      </c>
      <c r="L8" s="9">
        <v>300000</v>
      </c>
      <c r="M8" s="9">
        <v>350000</v>
      </c>
      <c r="N8" s="9">
        <v>325000</v>
      </c>
      <c r="O8" s="9">
        <v>-162135</v>
      </c>
      <c r="P8" s="9">
        <v>769231</v>
      </c>
      <c r="R8" t="s">
        <v>65</v>
      </c>
    </row>
    <row r="9" spans="1:18" ht="15.75" thickBot="1" x14ac:dyDescent="0.3">
      <c r="A9" s="1">
        <v>2</v>
      </c>
      <c r="B9" s="1">
        <f>+IF(F8*E8&lt;0,B8,D8)</f>
        <v>3</v>
      </c>
      <c r="C9" s="1">
        <f>IF(F8*E8&lt;0,D8,C8)</f>
        <v>3.25</v>
      </c>
      <c r="D9" s="1">
        <f>+(B9+C9)/2</f>
        <v>3.125</v>
      </c>
      <c r="E9" s="14">
        <f>B9^3-EXP(0.8*B9)-20</f>
        <v>-4.0231763806416048</v>
      </c>
      <c r="F9" s="14">
        <f>D9^3-EXP(0.8*D9)-20</f>
        <v>-1.664915835703475</v>
      </c>
      <c r="G9" s="1">
        <f>+ABS((D9-D8)/D9)*100</f>
        <v>4</v>
      </c>
      <c r="K9" s="8">
        <v>2</v>
      </c>
      <c r="L9" s="9">
        <v>325000</v>
      </c>
      <c r="M9" s="9">
        <v>350000</v>
      </c>
      <c r="N9" s="9">
        <v>337500</v>
      </c>
      <c r="O9" s="8" t="s">
        <v>17</v>
      </c>
      <c r="P9" s="9">
        <v>370370</v>
      </c>
    </row>
    <row r="10" spans="1:18" ht="15.75" thickBot="1" x14ac:dyDescent="0.3">
      <c r="A10" s="1">
        <f t="shared" ref="A10:A21" si="0">A9+1</f>
        <v>3</v>
      </c>
      <c r="B10" s="1">
        <f>+IF(F9*E9&lt;0,B9,D9)</f>
        <v>3.125</v>
      </c>
      <c r="C10" s="1">
        <f>IF(F9*E9 &lt; 0, D9, C9)</f>
        <v>3.25</v>
      </c>
      <c r="D10" s="1">
        <f>(B10+C10)/2</f>
        <v>3.1875</v>
      </c>
      <c r="E10" s="14">
        <f>+B10^3-EXP(0.8*B10)-20</f>
        <v>-1.664915835703475</v>
      </c>
      <c r="F10" s="15">
        <f>D10^3-EXP(0.8*D10)-20</f>
        <v>-0.42160573578803451</v>
      </c>
      <c r="G10" s="13">
        <f>+ABS((D10-D9)/D10)*100</f>
        <v>1.9607843137254901</v>
      </c>
      <c r="K10" s="8">
        <v>3</v>
      </c>
      <c r="L10" s="9">
        <v>325000</v>
      </c>
      <c r="M10" s="9">
        <v>337500</v>
      </c>
      <c r="N10" s="9">
        <v>331250</v>
      </c>
      <c r="O10" s="8" t="s">
        <v>18</v>
      </c>
      <c r="P10" s="9">
        <v>188679</v>
      </c>
    </row>
    <row r="11" spans="1:18" ht="15.75" thickBot="1" x14ac:dyDescent="0.3">
      <c r="A11" s="1">
        <v>4</v>
      </c>
      <c r="B11" s="14">
        <f>+IF(F10*E10&lt;0,B10,D10)</f>
        <v>3.1875</v>
      </c>
      <c r="C11" s="14">
        <f>IF(F10*E10 &lt; 0, D10, C10)</f>
        <v>3.25</v>
      </c>
      <c r="D11" s="14">
        <f>(B11+C11)/2</f>
        <v>3.21875</v>
      </c>
      <c r="E11" s="14">
        <f>+B11^3-EXP(0.8*B11)-20</f>
        <v>-0.42160573578803451</v>
      </c>
      <c r="F11" s="15">
        <f>D11^3-EXP(0.8*D11)-20</f>
        <v>0.21606443330685821</v>
      </c>
      <c r="G11" s="13">
        <f>+ABS((D11-D10)/D11)*100</f>
        <v>0.97087378640776689</v>
      </c>
      <c r="K11" s="8">
        <v>4</v>
      </c>
      <c r="L11" s="9">
        <v>331250</v>
      </c>
      <c r="M11" s="9">
        <v>337500</v>
      </c>
      <c r="N11" s="9">
        <v>334375</v>
      </c>
      <c r="O11" s="8" t="s">
        <v>19</v>
      </c>
      <c r="P11" s="8" t="s">
        <v>20</v>
      </c>
    </row>
    <row r="12" spans="1:18" ht="15.75" thickBot="1" x14ac:dyDescent="0.3">
      <c r="A12" s="1">
        <f t="shared" ref="A12:A21" si="1">A11+1</f>
        <v>5</v>
      </c>
      <c r="B12" s="14">
        <f>+IF(F11*E11&lt;0,B11,D11)</f>
        <v>3.1875</v>
      </c>
      <c r="C12" s="14">
        <f>IF(F11*E11 &lt; 0, D11, C11)</f>
        <v>3.21875</v>
      </c>
      <c r="D12" s="14">
        <f>(B12+C12)/2</f>
        <v>3.203125</v>
      </c>
      <c r="E12" s="14">
        <f>+B12^3-EXP(0.8*B12)-20</f>
        <v>-0.42160573578803451</v>
      </c>
      <c r="F12" s="15">
        <f>D12^3-EXP(0.8*D12)-20</f>
        <v>-0.10410353645155368</v>
      </c>
      <c r="G12" s="13">
        <f>+ABS((D12-D11)/D12)*100</f>
        <v>0.48780487804878048</v>
      </c>
      <c r="K12" s="8">
        <v>5</v>
      </c>
      <c r="L12" s="9">
        <v>334375</v>
      </c>
      <c r="M12" s="9">
        <v>337500</v>
      </c>
      <c r="N12" s="9">
        <v>335938</v>
      </c>
      <c r="O12" s="8" t="s">
        <v>21</v>
      </c>
      <c r="P12" s="8" t="s">
        <v>22</v>
      </c>
    </row>
    <row r="13" spans="1:18" ht="15.75" thickBot="1" x14ac:dyDescent="0.3">
      <c r="A13" s="1">
        <v>6</v>
      </c>
      <c r="B13" s="14">
        <f t="shared" ref="B13:B21" si="2">+IF(F12*E12&lt;0,B12,D12)</f>
        <v>3.203125</v>
      </c>
      <c r="C13" s="14">
        <f t="shared" ref="C13:C21" si="3">IF(F12*E12 &lt; 0, D12, C12)</f>
        <v>3.21875</v>
      </c>
      <c r="D13" s="14">
        <f t="shared" ref="D13" si="4">(B13+C13)/2</f>
        <v>3.2109375</v>
      </c>
      <c r="E13" s="14">
        <f t="shared" ref="E13:E21" si="5">+B13^3-EXP(0.8*B13)-20</f>
        <v>-0.10410353645155368</v>
      </c>
      <c r="F13" s="15">
        <f t="shared" ref="F13:F21" si="6">D13^3-EXP(0.8*D13)-20</f>
        <v>5.5647382134296208E-2</v>
      </c>
      <c r="G13" s="13">
        <f t="shared" ref="G13:G21" si="7">+ABS((D13-D12)/D13)*100</f>
        <v>0.24330900243309003</v>
      </c>
      <c r="K13" s="8">
        <v>6</v>
      </c>
      <c r="L13" s="9">
        <v>335938</v>
      </c>
      <c r="M13" s="9">
        <v>337500</v>
      </c>
      <c r="N13" s="9">
        <v>336719</v>
      </c>
      <c r="O13" s="8" t="s">
        <v>23</v>
      </c>
      <c r="P13" s="8" t="s">
        <v>24</v>
      </c>
    </row>
    <row r="14" spans="1:18" ht="15.75" thickBot="1" x14ac:dyDescent="0.3">
      <c r="A14" s="1">
        <f t="shared" ref="A14:A21" si="8">A13+1</f>
        <v>7</v>
      </c>
      <c r="B14" s="14">
        <f t="shared" si="2"/>
        <v>3.203125</v>
      </c>
      <c r="C14" s="14">
        <f t="shared" ref="C14:C21" si="9">IF(F13*E13&lt;0,D13,C13)</f>
        <v>3.2109375</v>
      </c>
      <c r="D14" s="14">
        <f t="shared" ref="D14" si="10">+(B14+C14)/2</f>
        <v>3.20703125</v>
      </c>
      <c r="E14" s="14">
        <f t="shared" ref="E14:E21" si="11">B14^3-EXP(0.8*B14)-20</f>
        <v>-0.10410353645155368</v>
      </c>
      <c r="F14" s="14">
        <f t="shared" si="6"/>
        <v>-2.4311363882567605E-2</v>
      </c>
      <c r="G14" s="13">
        <f t="shared" si="7"/>
        <v>0.12180267965895249</v>
      </c>
      <c r="K14" s="8">
        <v>7</v>
      </c>
      <c r="L14" s="9">
        <v>336719</v>
      </c>
      <c r="M14" s="9">
        <v>337500</v>
      </c>
      <c r="N14" s="9">
        <v>337109</v>
      </c>
      <c r="O14" s="8" t="s">
        <v>25</v>
      </c>
      <c r="P14" s="8" t="s">
        <v>26</v>
      </c>
      <c r="R14" s="6" t="s">
        <v>67</v>
      </c>
    </row>
    <row r="15" spans="1:18" ht="15.75" thickBot="1" x14ac:dyDescent="0.3">
      <c r="A15" s="1">
        <v>8</v>
      </c>
      <c r="B15" s="14">
        <f t="shared" si="2"/>
        <v>3.20703125</v>
      </c>
      <c r="C15" s="14">
        <f t="shared" ref="C15:C21" si="12">IF(F14*E14 &lt; 0, D14, C14)</f>
        <v>3.2109375</v>
      </c>
      <c r="D15" s="14">
        <f t="shared" ref="D15:D18" si="13">(B15+C15)/2</f>
        <v>3.208984375</v>
      </c>
      <c r="E15" s="14">
        <f t="shared" ref="E15:E21" si="14">+B15^3-EXP(0.8*B15)-20</f>
        <v>-2.4311363882567605E-2</v>
      </c>
      <c r="F15" s="15">
        <f t="shared" si="6"/>
        <v>1.5647189915139137E-2</v>
      </c>
      <c r="G15" s="13">
        <f t="shared" si="7"/>
        <v>6.0864272671941569E-2</v>
      </c>
      <c r="K15" s="8">
        <v>8</v>
      </c>
      <c r="L15" s="9">
        <v>337109</v>
      </c>
      <c r="M15" s="9">
        <v>337500</v>
      </c>
      <c r="N15" s="9">
        <v>337305</v>
      </c>
      <c r="O15" s="8" t="s">
        <v>27</v>
      </c>
      <c r="P15" s="8" t="s">
        <v>28</v>
      </c>
      <c r="R15" s="5"/>
    </row>
    <row r="16" spans="1:18" ht="15.75" thickBot="1" x14ac:dyDescent="0.3">
      <c r="A16" s="1">
        <f t="shared" ref="A16:A21" si="15">A15+1</f>
        <v>9</v>
      </c>
      <c r="B16" s="14">
        <f t="shared" si="2"/>
        <v>3.20703125</v>
      </c>
      <c r="C16" s="14">
        <f t="shared" si="12"/>
        <v>3.208984375</v>
      </c>
      <c r="D16" s="14">
        <f t="shared" si="13"/>
        <v>3.2080078125</v>
      </c>
      <c r="E16" s="14">
        <f t="shared" si="14"/>
        <v>-2.4311363882567605E-2</v>
      </c>
      <c r="F16" s="15">
        <f t="shared" si="6"/>
        <v>-4.3372920982065466E-3</v>
      </c>
      <c r="G16" s="13">
        <f t="shared" si="7"/>
        <v>3.0441400304414005E-2</v>
      </c>
      <c r="K16" s="8">
        <v>9</v>
      </c>
      <c r="L16" s="9">
        <v>337305</v>
      </c>
      <c r="M16" s="9">
        <v>337500</v>
      </c>
      <c r="N16" s="9">
        <v>337402</v>
      </c>
      <c r="O16" s="8" t="s">
        <v>29</v>
      </c>
      <c r="P16" s="8" t="s">
        <v>30</v>
      </c>
      <c r="R16" s="6" t="s">
        <v>69</v>
      </c>
    </row>
    <row r="17" spans="1:18" ht="15.75" thickBot="1" x14ac:dyDescent="0.3">
      <c r="A17" s="1">
        <v>10</v>
      </c>
      <c r="B17" s="14">
        <f t="shared" si="2"/>
        <v>3.2080078125</v>
      </c>
      <c r="C17" s="14">
        <f t="shared" si="12"/>
        <v>3.208984375</v>
      </c>
      <c r="D17" s="14">
        <f t="shared" si="13"/>
        <v>3.20849609375</v>
      </c>
      <c r="E17" s="14">
        <f t="shared" si="14"/>
        <v>-4.3372920982065466E-3</v>
      </c>
      <c r="F17" s="15">
        <f t="shared" si="6"/>
        <v>5.6536476686304127E-3</v>
      </c>
      <c r="G17" s="13">
        <f t="shared" si="7"/>
        <v>1.5218383807639627E-2</v>
      </c>
      <c r="K17" s="8">
        <v>10</v>
      </c>
      <c r="L17" s="9">
        <v>337402</v>
      </c>
      <c r="M17" s="9">
        <v>337500</v>
      </c>
      <c r="N17" s="9">
        <v>337451</v>
      </c>
      <c r="O17" s="8" t="s">
        <v>31</v>
      </c>
      <c r="P17" s="8" t="s">
        <v>32</v>
      </c>
    </row>
    <row r="18" spans="1:18" ht="15.75" thickBot="1" x14ac:dyDescent="0.3">
      <c r="A18" s="1">
        <f t="shared" ref="A18:A21" si="16">A17+1</f>
        <v>11</v>
      </c>
      <c r="B18" s="14">
        <f t="shared" si="2"/>
        <v>3.2080078125</v>
      </c>
      <c r="C18" s="14">
        <f t="shared" si="12"/>
        <v>3.20849609375</v>
      </c>
      <c r="D18" s="14">
        <f t="shared" si="13"/>
        <v>3.208251953125</v>
      </c>
      <c r="E18" s="14">
        <f t="shared" si="14"/>
        <v>-4.3372920982065466E-3</v>
      </c>
      <c r="F18" s="15">
        <f t="shared" si="6"/>
        <v>6.5785247038974148E-4</v>
      </c>
      <c r="G18" s="13">
        <f t="shared" si="7"/>
        <v>7.6097709458945286E-3</v>
      </c>
      <c r="K18" s="8">
        <v>11</v>
      </c>
      <c r="L18" s="9">
        <v>337402</v>
      </c>
      <c r="M18" s="9">
        <v>337451</v>
      </c>
      <c r="N18" s="9">
        <v>337427</v>
      </c>
      <c r="O18" s="8" t="s">
        <v>33</v>
      </c>
      <c r="P18" s="8" t="s">
        <v>34</v>
      </c>
      <c r="R18" s="6" t="s">
        <v>68</v>
      </c>
    </row>
    <row r="19" spans="1:18" ht="15.75" thickBot="1" x14ac:dyDescent="0.3">
      <c r="A19" s="1">
        <v>12</v>
      </c>
      <c r="B19" s="14">
        <f t="shared" si="2"/>
        <v>3.2080078125</v>
      </c>
      <c r="C19" s="14">
        <f t="shared" ref="C19:C21" si="17">IF(F18*E18&lt;0,D18,C18)</f>
        <v>3.208251953125</v>
      </c>
      <c r="D19" s="14">
        <f t="shared" ref="D19" si="18">+(B19+C19)/2</f>
        <v>3.2081298828125</v>
      </c>
      <c r="E19" s="14">
        <f t="shared" ref="E19:E21" si="19">B19^3-EXP(0.8*B19)-20</f>
        <v>-4.3372920982065466E-3</v>
      </c>
      <c r="F19" s="14">
        <f t="shared" si="6"/>
        <v>-1.8398011432196881E-3</v>
      </c>
      <c r="G19" s="13">
        <f t="shared" si="7"/>
        <v>3.8050302499904876E-3</v>
      </c>
      <c r="K19" s="8">
        <v>12</v>
      </c>
      <c r="L19" s="9">
        <v>337427</v>
      </c>
      <c r="M19" s="9">
        <v>337451</v>
      </c>
      <c r="N19" s="9">
        <v>337439</v>
      </c>
      <c r="O19" s="8" t="s">
        <v>35</v>
      </c>
      <c r="P19" s="8" t="s">
        <v>36</v>
      </c>
      <c r="R19" s="5"/>
    </row>
    <row r="20" spans="1:18" ht="15.75" thickBot="1" x14ac:dyDescent="0.3">
      <c r="A20" s="1">
        <f t="shared" ref="A20:A21" si="20">A19+1</f>
        <v>13</v>
      </c>
      <c r="B20" s="14">
        <f t="shared" si="2"/>
        <v>3.2081298828125</v>
      </c>
      <c r="C20" s="14">
        <f t="shared" ref="C20:C21" si="21">IF(F19*E19 &lt; 0, D19, C19)</f>
        <v>3.208251953125</v>
      </c>
      <c r="D20" s="14">
        <f t="shared" ref="D20:D21" si="22">(B20+C20)/2</f>
        <v>3.20819091796875</v>
      </c>
      <c r="E20" s="14">
        <f t="shared" ref="E20:E21" si="23">+B20^3-EXP(0.8*B20)-20</f>
        <v>-1.8398011432196881E-3</v>
      </c>
      <c r="F20" s="15">
        <f t="shared" si="6"/>
        <v>-5.9099466866285866E-4</v>
      </c>
      <c r="G20" s="13">
        <f t="shared" si="7"/>
        <v>1.9024789300458498E-3</v>
      </c>
      <c r="K20" s="8">
        <v>13</v>
      </c>
      <c r="L20" s="9">
        <v>337439</v>
      </c>
      <c r="M20" s="9">
        <v>337451</v>
      </c>
      <c r="N20" s="9">
        <v>337445</v>
      </c>
      <c r="O20" s="8" t="s">
        <v>37</v>
      </c>
      <c r="P20" s="8" t="s">
        <v>38</v>
      </c>
      <c r="R20" s="6" t="s">
        <v>70</v>
      </c>
    </row>
    <row r="21" spans="1:18" ht="30.75" thickBot="1" x14ac:dyDescent="0.3">
      <c r="A21" s="1">
        <v>14</v>
      </c>
      <c r="B21" s="14">
        <f t="shared" si="2"/>
        <v>3.20819091796875</v>
      </c>
      <c r="C21" s="14">
        <f t="shared" si="21"/>
        <v>3.208251953125</v>
      </c>
      <c r="D21" s="14">
        <f t="shared" si="22"/>
        <v>3.208221435546875</v>
      </c>
      <c r="E21" s="14">
        <f t="shared" si="23"/>
        <v>-5.9099466866285866E-4</v>
      </c>
      <c r="F21" s="15">
        <f t="shared" si="6"/>
        <v>3.3423817811240042E-5</v>
      </c>
      <c r="G21" s="13">
        <f t="shared" si="7"/>
        <v>9.5123041654379941E-4</v>
      </c>
      <c r="K21" s="7">
        <v>14</v>
      </c>
      <c r="L21" s="10">
        <v>337439</v>
      </c>
      <c r="M21" s="10">
        <v>337445</v>
      </c>
      <c r="N21" s="10">
        <v>337442</v>
      </c>
      <c r="O21" s="7" t="s">
        <v>39</v>
      </c>
      <c r="P21" s="7" t="s">
        <v>40</v>
      </c>
    </row>
    <row r="22" spans="1:18" ht="27" thickBot="1" x14ac:dyDescent="0.45">
      <c r="A22" s="21" t="s">
        <v>72</v>
      </c>
      <c r="B22" s="17"/>
      <c r="C22" s="17"/>
      <c r="D22" s="16"/>
    </row>
    <row r="23" spans="1:18" ht="17.25" customHeight="1" x14ac:dyDescent="0.25">
      <c r="A23" s="20" t="s">
        <v>10</v>
      </c>
      <c r="B23" s="20" t="s">
        <v>41</v>
      </c>
      <c r="C23" s="20" t="s">
        <v>42</v>
      </c>
      <c r="D23" s="20" t="s">
        <v>43</v>
      </c>
      <c r="E23" s="20" t="s">
        <v>44</v>
      </c>
      <c r="F23" s="20" t="s">
        <v>15</v>
      </c>
      <c r="K23" s="11" t="s">
        <v>66</v>
      </c>
    </row>
    <row r="24" spans="1:18" ht="15.75" thickBot="1" x14ac:dyDescent="0.3">
      <c r="A24" s="1">
        <v>0</v>
      </c>
      <c r="B24" s="1">
        <v>3.5</v>
      </c>
      <c r="C24" s="12">
        <f>+B24^3-EXP(0.8*B24)-20</f>
        <v>6.4303532289029448</v>
      </c>
      <c r="D24" s="12">
        <f>3*B24^2-0.8*EXP(0.8*B24)</f>
        <v>23.594282583122357</v>
      </c>
      <c r="E24" s="1">
        <f>+B24-(C24/D24)</f>
        <v>3.2274613794147422</v>
      </c>
      <c r="F24" s="1"/>
    </row>
    <row r="25" spans="1:18" ht="15.75" thickBot="1" x14ac:dyDescent="0.3">
      <c r="A25" s="1">
        <v>1</v>
      </c>
      <c r="B25" s="1">
        <f>E24</f>
        <v>3.2274613794147422</v>
      </c>
      <c r="C25" s="12">
        <f>+B25^3-EXP(0.8*B25)-20</f>
        <v>0.39572361474333917</v>
      </c>
      <c r="D25" s="12">
        <f>3*B25^2-0.8*EXP(0.8*B25)</f>
        <v>20.67100063251717</v>
      </c>
      <c r="E25" s="19">
        <f>+B25-(C25/D25)</f>
        <v>3.2083174772022467</v>
      </c>
      <c r="F25" s="1">
        <f>+ABS((E25-B25)/E25)*100</f>
        <v>0.59669600494741548</v>
      </c>
      <c r="K25" s="7" t="s">
        <v>10</v>
      </c>
      <c r="L25" s="7" t="s">
        <v>41</v>
      </c>
      <c r="M25" s="7" t="s">
        <v>42</v>
      </c>
      <c r="N25" s="7" t="s">
        <v>43</v>
      </c>
      <c r="O25" s="7" t="s">
        <v>44</v>
      </c>
      <c r="P25" s="7" t="s">
        <v>15</v>
      </c>
    </row>
    <row r="26" spans="1:18" ht="15.75" thickBot="1" x14ac:dyDescent="0.3">
      <c r="A26" s="1">
        <v>2</v>
      </c>
      <c r="B26" s="1">
        <f>E25</f>
        <v>3.2083174772022467</v>
      </c>
      <c r="C26" s="12">
        <f>+B26^3-EXP(0.8*B26)-20</f>
        <v>1.9985931829964443E-3</v>
      </c>
      <c r="D26" s="12">
        <f>3*B26^2-0.8*EXP(0.8*B26)</f>
        <v>20.462159892383411</v>
      </c>
      <c r="E26" s="19">
        <f>+B26-(C26/D26)</f>
        <v>3.2082198045619434</v>
      </c>
      <c r="F26" s="1">
        <f>+ABS((E26-B26)/E26)*100</f>
        <v>3.0444497650803687E-3</v>
      </c>
      <c r="K26" s="8">
        <v>0</v>
      </c>
      <c r="L26" s="9">
        <v>350000000</v>
      </c>
      <c r="M26" s="9">
        <v>173832145</v>
      </c>
      <c r="N26" s="9">
        <v>2665751287</v>
      </c>
      <c r="O26" s="9">
        <v>343477146</v>
      </c>
      <c r="P26" s="8" t="s">
        <v>16</v>
      </c>
    </row>
    <row r="27" spans="1:18" ht="29.25" thickBot="1" x14ac:dyDescent="0.3">
      <c r="A27" s="1">
        <v>3</v>
      </c>
      <c r="B27" s="1">
        <f>E26</f>
        <v>3.2082198045619434</v>
      </c>
      <c r="C27" s="12">
        <f>+B27^3-EXP(0.8*B27)-20</f>
        <v>5.2067743894212981E-8</v>
      </c>
      <c r="D27" s="12">
        <f>3*B27^2-0.8*EXP(0.8*B27)</f>
        <v>20.461093722955745</v>
      </c>
      <c r="E27" s="19">
        <f>+B27-(C27/D27)</f>
        <v>3.2082198020172239</v>
      </c>
      <c r="F27" s="1">
        <f>+ABS((E27-B27)/E27)*100</f>
        <v>7.9318740710769957E-8</v>
      </c>
      <c r="K27" s="8">
        <v>1</v>
      </c>
      <c r="L27" s="9">
        <v>343477146</v>
      </c>
      <c r="M27" s="8" t="s">
        <v>45</v>
      </c>
      <c r="N27" s="9">
        <v>2463038332</v>
      </c>
      <c r="O27" s="9">
        <v>340498118</v>
      </c>
      <c r="P27" s="8" t="s">
        <v>46</v>
      </c>
    </row>
    <row r="28" spans="1:18" ht="29.25" thickBot="1" x14ac:dyDescent="0.3">
      <c r="A28" s="1">
        <v>4</v>
      </c>
      <c r="B28" s="1">
        <f>E27</f>
        <v>3.2082198020172239</v>
      </c>
      <c r="C28" s="12">
        <f>+B28^3-EXP(0.8*B28)-20</f>
        <v>0</v>
      </c>
      <c r="D28" s="12">
        <f>3*B28^2-0.8*EXP(0.8*B28)</f>
        <v>20.46109369517816</v>
      </c>
      <c r="E28" s="19">
        <f>+B28-(C28/D28)</f>
        <v>3.2082198020172239</v>
      </c>
      <c r="F28" s="1">
        <f>+ABS((E28-B28)/E28)*100</f>
        <v>0</v>
      </c>
      <c r="K28" s="8">
        <v>2</v>
      </c>
      <c r="L28" s="9">
        <v>340498118</v>
      </c>
      <c r="M28" s="8" t="s">
        <v>47</v>
      </c>
      <c r="N28" s="9">
        <v>2377158732</v>
      </c>
      <c r="O28" s="9">
        <v>340457199</v>
      </c>
      <c r="P28" s="8" t="s">
        <v>48</v>
      </c>
    </row>
    <row r="29" spans="1:18" ht="27" customHeight="1" thickBot="1" x14ac:dyDescent="0.3">
      <c r="K29" s="7">
        <v>3</v>
      </c>
      <c r="L29" s="10">
        <v>340457199</v>
      </c>
      <c r="M29" s="7" t="s">
        <v>49</v>
      </c>
      <c r="N29" s="9">
        <v>2376013327</v>
      </c>
      <c r="O29" s="10">
        <v>340457099</v>
      </c>
      <c r="P29" s="7" t="s">
        <v>50</v>
      </c>
    </row>
    <row r="30" spans="1:18" ht="15.75" thickBot="1" x14ac:dyDescent="0.3">
      <c r="K30" s="8">
        <v>4</v>
      </c>
      <c r="L30" s="9">
        <v>340457099</v>
      </c>
      <c r="M30" s="8" t="s">
        <v>51</v>
      </c>
      <c r="N30" s="9">
        <v>2376010526</v>
      </c>
      <c r="O30" s="9">
        <v>340457099</v>
      </c>
      <c r="P30" s="8" t="s">
        <v>51</v>
      </c>
    </row>
    <row r="31" spans="1:18" x14ac:dyDescent="0.25">
      <c r="K31" s="11" t="s">
        <v>52</v>
      </c>
    </row>
    <row r="39" spans="1:17" ht="27" thickBot="1" x14ac:dyDescent="0.45">
      <c r="A39" s="21" t="s">
        <v>71</v>
      </c>
      <c r="B39" s="16"/>
      <c r="C39" s="16"/>
    </row>
    <row r="40" spans="1:17" ht="28.5" customHeight="1" thickBot="1" x14ac:dyDescent="0.3">
      <c r="A40" s="23" t="s">
        <v>10</v>
      </c>
      <c r="B40" s="23" t="s">
        <v>53</v>
      </c>
      <c r="C40" s="23" t="s">
        <v>41</v>
      </c>
      <c r="D40" s="23" t="s">
        <v>54</v>
      </c>
      <c r="E40" s="23" t="s">
        <v>42</v>
      </c>
      <c r="F40" s="23" t="s">
        <v>44</v>
      </c>
      <c r="G40" s="23" t="s">
        <v>15</v>
      </c>
      <c r="K40" s="7" t="s">
        <v>10</v>
      </c>
      <c r="L40" s="7" t="s">
        <v>53</v>
      </c>
      <c r="M40" s="7" t="s">
        <v>41</v>
      </c>
      <c r="N40" s="7" t="s">
        <v>54</v>
      </c>
      <c r="O40" s="7" t="s">
        <v>42</v>
      </c>
      <c r="P40" s="7" t="s">
        <v>44</v>
      </c>
      <c r="Q40" s="7" t="s">
        <v>15</v>
      </c>
    </row>
    <row r="41" spans="1:17" ht="15.75" thickBot="1" x14ac:dyDescent="0.3">
      <c r="A41" s="1">
        <v>0</v>
      </c>
      <c r="B41" s="1">
        <v>4</v>
      </c>
      <c r="C41" s="1">
        <v>3</v>
      </c>
      <c r="D41" s="12">
        <f>+B41^3-EXP(0.8*B41)-20</f>
        <v>19.467469802890648</v>
      </c>
      <c r="E41" s="12">
        <f>+C41^3-EXP(0.8*C41)-20</f>
        <v>-4.0231763806416048</v>
      </c>
      <c r="F41" s="22">
        <f>C41-E41*(B41-C41)/(D41-E41)</f>
        <v>3.1712671652030582</v>
      </c>
      <c r="G41" s="1"/>
      <c r="K41" s="8">
        <v>0</v>
      </c>
      <c r="L41" s="9">
        <v>400000000</v>
      </c>
      <c r="M41" s="9">
        <v>300000000</v>
      </c>
      <c r="N41" s="9">
        <v>1037731776</v>
      </c>
      <c r="O41" s="9">
        <v>-408643801</v>
      </c>
      <c r="P41" s="9">
        <v>328476295</v>
      </c>
      <c r="Q41" s="8" t="s">
        <v>16</v>
      </c>
    </row>
    <row r="42" spans="1:17" ht="15.75" thickBot="1" x14ac:dyDescent="0.3">
      <c r="A42" s="1">
        <v>1</v>
      </c>
      <c r="B42" s="1">
        <f>C41</f>
        <v>3</v>
      </c>
      <c r="C42" s="1">
        <f>D41</f>
        <v>19.467469802890648</v>
      </c>
      <c r="D42" s="12">
        <f>+B42^3-EXP(0.8*B42)-20</f>
        <v>-4.0231763806416048</v>
      </c>
      <c r="E42" s="12">
        <f>+C42^3-EXP(0.8*C42)-20</f>
        <v>-5796165.9693777785</v>
      </c>
      <c r="F42" s="22">
        <f>C42-E42*(B42-C42)/(D42-E42)</f>
        <v>2.9999885697576829</v>
      </c>
      <c r="G42" s="1">
        <f>+ABS((F42-C42)/F42)*100</f>
        <v>548.91813252685449</v>
      </c>
      <c r="K42" s="8">
        <v>1</v>
      </c>
      <c r="L42" s="9">
        <v>300000000</v>
      </c>
      <c r="M42" s="9">
        <v>328476295</v>
      </c>
      <c r="N42" s="9">
        <v>-408643801</v>
      </c>
      <c r="O42" s="9">
        <v>-125812267</v>
      </c>
      <c r="P42" s="9">
        <v>339803080</v>
      </c>
      <c r="Q42" s="9">
        <v>333230</v>
      </c>
    </row>
    <row r="43" spans="1:17" ht="15.75" thickBot="1" x14ac:dyDescent="0.3">
      <c r="A43" s="1">
        <v>2</v>
      </c>
      <c r="B43" s="1">
        <f>C42</f>
        <v>19.467469802890648</v>
      </c>
      <c r="C43" s="1">
        <f>D42</f>
        <v>-4.0231763806416048</v>
      </c>
      <c r="D43" s="12">
        <f>+B43^3-EXP(0.8*B43)-20</f>
        <v>-5796165.9693777785</v>
      </c>
      <c r="E43" s="12">
        <f>+C43^3-EXP(0.8*C43)-20</f>
        <v>-85.158937846356125</v>
      </c>
      <c r="F43" s="22">
        <f>C43-E43*(B43-C43)/(D43-E43)</f>
        <v>-4.023521517043898</v>
      </c>
      <c r="G43" s="1">
        <f>+ABS((F43-C43)/F43)*100</f>
        <v>8.5779683501444638E-3</v>
      </c>
      <c r="K43" s="8">
        <v>2</v>
      </c>
      <c r="L43" s="9">
        <v>328476295</v>
      </c>
      <c r="M43" s="9">
        <v>339803080</v>
      </c>
      <c r="N43" s="9">
        <v>-125812267</v>
      </c>
      <c r="O43" s="8" t="s">
        <v>55</v>
      </c>
      <c r="P43" s="9">
        <v>340455208</v>
      </c>
      <c r="Q43" s="8" t="s">
        <v>56</v>
      </c>
    </row>
    <row r="44" spans="1:17" ht="15.75" thickBot="1" x14ac:dyDescent="0.3">
      <c r="A44" s="1">
        <v>3</v>
      </c>
      <c r="B44" s="1">
        <f t="shared" ref="B44:C48" si="24">C43</f>
        <v>-4.0231763806416048</v>
      </c>
      <c r="C44" s="1">
        <f t="shared" si="24"/>
        <v>-5796165.9693777785</v>
      </c>
      <c r="D44" s="12">
        <f t="shared" ref="D44:D48" si="25">+B44^3-EXP(0.8*B44)-20</f>
        <v>-85.158937846356125</v>
      </c>
      <c r="E44" s="12">
        <f t="shared" ref="E44:E48" si="26">+C44^3-EXP(0.8*C44)-20</f>
        <v>-1.947253253496061E+20</v>
      </c>
      <c r="F44" s="22">
        <f t="shared" ref="F44:F48" si="27">C44-E44*(B44-C44)/(D44-E44)</f>
        <v>-4.0231763804331422</v>
      </c>
      <c r="G44" s="1">
        <f t="shared" ref="G44:G48" si="28">+ABS((F44-C44)/F44)*100</f>
        <v>144069297.44346365</v>
      </c>
      <c r="K44" s="7">
        <v>3</v>
      </c>
      <c r="L44" s="10">
        <v>339803080</v>
      </c>
      <c r="M44" s="10">
        <v>340455208</v>
      </c>
      <c r="N44" s="8" t="s">
        <v>55</v>
      </c>
      <c r="O44" s="8" t="s">
        <v>57</v>
      </c>
      <c r="P44" s="10">
        <v>340457099</v>
      </c>
      <c r="Q44" s="7" t="s">
        <v>58</v>
      </c>
    </row>
    <row r="45" spans="1:17" ht="15.75" thickBot="1" x14ac:dyDescent="0.3">
      <c r="A45" s="1">
        <v>4</v>
      </c>
      <c r="B45" s="1">
        <f t="shared" si="24"/>
        <v>-5796165.9693777785</v>
      </c>
      <c r="C45" s="1">
        <f t="shared" si="24"/>
        <v>-85.158937846356125</v>
      </c>
      <c r="D45" s="12">
        <f t="shared" si="25"/>
        <v>-1.947253253496061E+20</v>
      </c>
      <c r="E45" s="12">
        <f t="shared" si="26"/>
        <v>-617596.42345068196</v>
      </c>
      <c r="F45" s="22">
        <f t="shared" si="27"/>
        <v>-85.158937827973105</v>
      </c>
      <c r="G45" s="1">
        <f t="shared" si="28"/>
        <v>2.1586717753776028E-8</v>
      </c>
      <c r="K45" s="8">
        <v>4</v>
      </c>
      <c r="L45" s="9">
        <v>340455208</v>
      </c>
      <c r="M45" s="9">
        <v>340457099</v>
      </c>
      <c r="N45" s="8" t="s">
        <v>57</v>
      </c>
      <c r="O45" s="8" t="s">
        <v>59</v>
      </c>
      <c r="P45" s="9">
        <v>340457099</v>
      </c>
      <c r="Q45" s="8" t="s">
        <v>51</v>
      </c>
    </row>
    <row r="46" spans="1:17" x14ac:dyDescent="0.25">
      <c r="A46" s="1">
        <v>5</v>
      </c>
      <c r="B46" s="1"/>
      <c r="C46" s="1"/>
      <c r="D46" s="12"/>
      <c r="E46" s="12"/>
      <c r="F46" s="22"/>
      <c r="G46" s="1"/>
      <c r="K46" s="11" t="s">
        <v>60</v>
      </c>
    </row>
    <row r="47" spans="1:17" x14ac:dyDescent="0.25">
      <c r="A47" s="1">
        <v>6</v>
      </c>
      <c r="B47" s="1"/>
      <c r="C47" s="1"/>
      <c r="D47" s="12"/>
      <c r="E47" s="12"/>
      <c r="F47" s="22"/>
      <c r="G47" s="1"/>
    </row>
    <row r="48" spans="1:17" x14ac:dyDescent="0.25">
      <c r="A48" s="1">
        <v>7</v>
      </c>
      <c r="B48" s="1"/>
      <c r="C48" s="1"/>
      <c r="D48" s="12"/>
      <c r="E48" s="12"/>
      <c r="F48" s="22"/>
      <c r="G48" s="1"/>
    </row>
    <row r="67" spans="1:1" x14ac:dyDescent="0.25">
      <c r="A67" t="s">
        <v>61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11B4-6021-4381-8760-37640DA2A0BB}">
  <dimension ref="A1:M65"/>
  <sheetViews>
    <sheetView workbookViewId="0">
      <selection activeCell="A65" sqref="A65"/>
    </sheetView>
  </sheetViews>
  <sheetFormatPr baseColWidth="10" defaultRowHeight="15" x14ac:dyDescent="0.25"/>
  <cols>
    <col min="1" max="1" width="21.85546875" customWidth="1"/>
    <col min="2" max="2" width="19.42578125" customWidth="1"/>
    <col min="3" max="3" width="17.140625" customWidth="1"/>
    <col min="4" max="4" width="18.7109375" customWidth="1"/>
    <col min="5" max="5" width="17.28515625" customWidth="1"/>
    <col min="6" max="6" width="20.5703125" customWidth="1"/>
    <col min="7" max="7" width="16.5703125" bestFit="1" customWidth="1"/>
    <col min="11" max="11" width="6.5703125" customWidth="1"/>
    <col min="12" max="12" width="50.5703125" customWidth="1"/>
  </cols>
  <sheetData>
    <row r="1" spans="1:11" x14ac:dyDescent="0.25">
      <c r="A1" s="6" t="s">
        <v>74</v>
      </c>
    </row>
    <row r="2" spans="1:11" x14ac:dyDescent="0.25">
      <c r="A2" s="6" t="s">
        <v>94</v>
      </c>
    </row>
    <row r="3" spans="1:11" x14ac:dyDescent="0.25">
      <c r="A3" s="6"/>
      <c r="K3" s="6" t="s">
        <v>75</v>
      </c>
    </row>
    <row r="4" spans="1:11" x14ac:dyDescent="0.25">
      <c r="A4" s="6" t="s">
        <v>95</v>
      </c>
    </row>
    <row r="5" spans="1:11" ht="26.25" x14ac:dyDescent="0.4">
      <c r="A5" s="29" t="s">
        <v>96</v>
      </c>
      <c r="B5" s="17"/>
      <c r="C5" s="17"/>
      <c r="D5" s="17"/>
      <c r="E5" s="17"/>
      <c r="F5" s="17"/>
      <c r="G5" s="16"/>
      <c r="K5" s="24" t="s">
        <v>76</v>
      </c>
    </row>
    <row r="6" spans="1:11" x14ac:dyDescent="0.25">
      <c r="A6" s="31" t="s">
        <v>63</v>
      </c>
      <c r="B6" s="32" t="s">
        <v>11</v>
      </c>
      <c r="C6" s="32" t="s">
        <v>12</v>
      </c>
      <c r="D6" s="33" t="s">
        <v>62</v>
      </c>
      <c r="E6" s="33" t="s">
        <v>64</v>
      </c>
      <c r="F6" s="33" t="s">
        <v>14</v>
      </c>
      <c r="G6" s="33" t="s">
        <v>15</v>
      </c>
    </row>
    <row r="7" spans="1:11" x14ac:dyDescent="0.25">
      <c r="A7" s="30">
        <v>0</v>
      </c>
      <c r="B7" s="30">
        <v>5</v>
      </c>
      <c r="C7" s="30">
        <v>6</v>
      </c>
      <c r="D7" s="1">
        <f>(B7+C7)/2</f>
        <v>5.5</v>
      </c>
      <c r="E7" s="1">
        <f>3*SIN(0.5*B7)-0.5*B7+2</f>
        <v>1.2954164323118698</v>
      </c>
      <c r="F7" s="1">
        <f>3*SIN(0.5*D7)-0.5*D7+2</f>
        <v>0.39498297615699496</v>
      </c>
      <c r="G7" s="1"/>
      <c r="K7" s="6" t="s">
        <v>77</v>
      </c>
    </row>
    <row r="8" spans="1:11" x14ac:dyDescent="0.25">
      <c r="A8" s="30">
        <v>1</v>
      </c>
      <c r="B8" s="1">
        <f>+IF(G7*F7 &lt; 0,B7,D7)</f>
        <v>5.5</v>
      </c>
      <c r="C8" s="1">
        <f>+IF(G7*F7&lt;0,D7,C7)</f>
        <v>6</v>
      </c>
      <c r="D8" s="1">
        <f>+(B8+C8)/2</f>
        <v>5.75</v>
      </c>
      <c r="E8" s="1">
        <f>3*SIN(0.5*B8)-0.5*B8+2</f>
        <v>0.39498297615699496</v>
      </c>
      <c r="F8" s="1">
        <f>3*SIN(0.5*D8)-0.5*D8+2</f>
        <v>-8.4662019909737651E-2</v>
      </c>
      <c r="G8" s="1">
        <f>+ABS((D8-D7)/D8)*100</f>
        <v>4.3478260869565215</v>
      </c>
      <c r="K8" s="5"/>
    </row>
    <row r="9" spans="1:11" x14ac:dyDescent="0.25">
      <c r="A9" s="30">
        <v>2</v>
      </c>
      <c r="B9" s="1">
        <f>+IF(G8*F8 &lt; 0,B8,D8)</f>
        <v>5.5</v>
      </c>
      <c r="C9" s="1">
        <f>+IF(G8*F8&lt;0,D8,C8)</f>
        <v>5.75</v>
      </c>
      <c r="D9" s="1">
        <f>+(B9+C9)/2</f>
        <v>5.625</v>
      </c>
      <c r="E9" s="1">
        <f>3*SIN(0.5*B9)-0.5*B9+2</f>
        <v>0.39498297615699496</v>
      </c>
      <c r="F9" s="1">
        <f>3*SIN(0.5*D9)-0.5*D9+2</f>
        <v>0.15705352099906067</v>
      </c>
      <c r="G9" s="1">
        <f>+ABS((D9-D8)/D9)*100</f>
        <v>2.2222222222222223</v>
      </c>
      <c r="K9" s="6" t="s">
        <v>78</v>
      </c>
    </row>
    <row r="10" spans="1:11" x14ac:dyDescent="0.25">
      <c r="A10" s="30">
        <v>3</v>
      </c>
      <c r="B10" s="1">
        <f>+IF(G9*F9 &lt; 0,B9,D9)</f>
        <v>5.625</v>
      </c>
      <c r="C10" s="1">
        <f>+IF(G9*F9&lt;0,D9,C9)</f>
        <v>5.75</v>
      </c>
      <c r="D10" s="1">
        <f>+(B10+C10)/2</f>
        <v>5.6875</v>
      </c>
      <c r="E10" s="1">
        <f>3*SIN(0.5*B10)-0.5*B10+2</f>
        <v>0.15705352099906067</v>
      </c>
      <c r="F10" s="1">
        <f>3*SIN(0.5*D10)-0.5*D10+2</f>
        <v>3.6625586454641201E-2</v>
      </c>
      <c r="G10" s="1">
        <f>+ABS((D10-D9)/D10)*100</f>
        <v>1.098901098901099</v>
      </c>
      <c r="K10" s="6" t="s">
        <v>79</v>
      </c>
    </row>
    <row r="11" spans="1:11" x14ac:dyDescent="0.25">
      <c r="A11" s="30">
        <v>4</v>
      </c>
      <c r="B11" s="1">
        <f>+IF(G10*F10 &lt; 0,B10,D10)</f>
        <v>5.6875</v>
      </c>
      <c r="C11" s="1">
        <f>+IF(G10*F10&lt;0,D10,C10)</f>
        <v>5.75</v>
      </c>
      <c r="D11" s="1">
        <f>+(B11+C11)/2</f>
        <v>5.71875</v>
      </c>
      <c r="E11" s="1">
        <f>3*SIN(0.5*B11)-0.5*B11+2</f>
        <v>3.6625586454641201E-2</v>
      </c>
      <c r="F11" s="1">
        <f>3*SIN(0.5*D11)-0.5*D11+2</f>
        <v>-2.3916234089780275E-2</v>
      </c>
      <c r="G11" s="1">
        <f>+ABS((D11-D10)/D11)*100</f>
        <v>0.54644808743169404</v>
      </c>
      <c r="K11" s="6" t="s">
        <v>80</v>
      </c>
    </row>
    <row r="12" spans="1:11" x14ac:dyDescent="0.25">
      <c r="A12" s="30">
        <v>5</v>
      </c>
      <c r="B12" s="1">
        <f>+IF(G11*F11 &lt; 0,B11,D11)</f>
        <v>5.6875</v>
      </c>
      <c r="C12" s="1">
        <f>+IF(G11*F11&lt;0,D11,C11)</f>
        <v>5.71875</v>
      </c>
      <c r="D12" s="1">
        <f>+(B12+C12)/2</f>
        <v>5.703125</v>
      </c>
      <c r="E12" s="1">
        <f>3*SIN(0.5*B12)-0.5*B12+2</f>
        <v>3.6625586454641201E-2</v>
      </c>
      <c r="F12" s="1">
        <f>3*SIN(0.5*D12)-0.5*D12+2</f>
        <v>6.3808584027273962E-3</v>
      </c>
      <c r="G12" s="1">
        <f>+ABS((D12-D11)/D12)*100</f>
        <v>0.27397260273972601</v>
      </c>
      <c r="K12" s="6" t="s">
        <v>81</v>
      </c>
    </row>
    <row r="13" spans="1:11" x14ac:dyDescent="0.25">
      <c r="A13" s="30">
        <v>6</v>
      </c>
      <c r="B13" s="1">
        <f>+IF(G12*F12 &lt; 0,B12,D12)</f>
        <v>5.703125</v>
      </c>
      <c r="C13" s="1">
        <f>+IF(G12*F12&lt;0,D12,C12)</f>
        <v>5.71875</v>
      </c>
      <c r="D13" s="1">
        <f>+(B13+C13)/2</f>
        <v>5.7109375</v>
      </c>
      <c r="E13" s="1">
        <f>3*SIN(0.5*B13)-0.5*B13+2</f>
        <v>6.3808584027273962E-3</v>
      </c>
      <c r="F13" s="1">
        <f>3*SIN(0.5*D13)-0.5*D13+2</f>
        <v>-8.7612279860023179E-3</v>
      </c>
      <c r="G13" s="1">
        <f>+ABS((D13-D12)/D13)*100</f>
        <v>0.13679890560875513</v>
      </c>
      <c r="K13" s="25"/>
    </row>
    <row r="14" spans="1:11" x14ac:dyDescent="0.25">
      <c r="A14" s="1">
        <v>7</v>
      </c>
      <c r="B14" s="1">
        <f>+IF(G13*F13 &lt; 0,B13,D13)</f>
        <v>5.703125</v>
      </c>
      <c r="C14" s="1">
        <f>+IF(G13*F13&lt;0,D13,C13)</f>
        <v>5.7109375</v>
      </c>
      <c r="D14" s="1">
        <f>+(B14+C14)/2</f>
        <v>5.70703125</v>
      </c>
      <c r="E14" s="1">
        <f>3*SIN(0.5*B14)-0.5*B14+2</f>
        <v>6.3808584027273962E-3</v>
      </c>
      <c r="F14" s="1">
        <f>3*SIN(0.5*D14)-0.5*D14+2</f>
        <v>-1.1885591072906543E-3</v>
      </c>
      <c r="G14" s="1">
        <f>+ABS((D14-D13)/D14)*100</f>
        <v>6.8446269678302529E-2</v>
      </c>
      <c r="K14" s="26" t="s">
        <v>82</v>
      </c>
    </row>
    <row r="15" spans="1:11" x14ac:dyDescent="0.25">
      <c r="A15" s="1">
        <v>8</v>
      </c>
      <c r="B15" s="1">
        <f>+IF(G14*F14 &lt; 0,B14,D14)</f>
        <v>5.703125</v>
      </c>
      <c r="C15" s="1">
        <f>+IF(G14*F14&lt;0,D14,C14)</f>
        <v>5.70703125</v>
      </c>
      <c r="D15" s="1">
        <f>+(B15+C15)/2</f>
        <v>5.705078125</v>
      </c>
      <c r="E15" s="1">
        <f>3*SIN(0.5*B15)-0.5*B15+2</f>
        <v>6.3808584027273962E-3</v>
      </c>
      <c r="F15" s="1">
        <f>3*SIN(0.5*D15)-0.5*D15+2</f>
        <v>2.5965574081250331E-3</v>
      </c>
      <c r="G15" s="1">
        <f>+ABS((D15-D14)/D15)*100</f>
        <v>3.4234851078397806E-2</v>
      </c>
      <c r="K15" s="25"/>
    </row>
    <row r="16" spans="1:11" x14ac:dyDescent="0.25">
      <c r="A16" s="1">
        <v>9</v>
      </c>
      <c r="B16" s="1">
        <f>+IF(G15*F15 &lt; 0,B15,D15)</f>
        <v>5.705078125</v>
      </c>
      <c r="C16" s="1">
        <f>+IF(G15*F15&lt;0,D15,C15)</f>
        <v>5.70703125</v>
      </c>
      <c r="D16" s="1">
        <f>+(B16+C16)/2</f>
        <v>5.7060546875</v>
      </c>
      <c r="E16" s="1">
        <f>3*SIN(0.5*B16)-0.5*B16+2</f>
        <v>2.5965574081250331E-3</v>
      </c>
      <c r="F16" s="1">
        <f>3*SIN(0.5*D16)-0.5*D16+2</f>
        <v>7.0410092313410999E-4</v>
      </c>
      <c r="G16" s="1">
        <f>+ABS((D16-D15)/D16)*100</f>
        <v>1.7114495978093443E-2</v>
      </c>
      <c r="K16" s="26" t="s">
        <v>83</v>
      </c>
    </row>
    <row r="17" spans="1:13" x14ac:dyDescent="0.25">
      <c r="A17" s="1">
        <v>10</v>
      </c>
      <c r="B17" s="1">
        <f>+IF(G16*F16 &lt; 0,B16,D16)</f>
        <v>5.7060546875</v>
      </c>
      <c r="C17" s="1">
        <f>+IF(G16*F16&lt;0,D16,C16)</f>
        <v>5.70703125</v>
      </c>
      <c r="D17" s="1">
        <f>+(B17+C17)/2</f>
        <v>5.70654296875</v>
      </c>
      <c r="E17" s="1">
        <f>3*SIN(0.5*B17)-0.5*B17+2</f>
        <v>7.0410092313410999E-4</v>
      </c>
      <c r="F17" s="1">
        <f>3*SIN(0.5*D17)-0.5*D17+2</f>
        <v>-2.4220366982463659E-4</v>
      </c>
      <c r="G17" s="1">
        <f>+ABS((D17-D16)/D17)*100</f>
        <v>8.5565157867716259E-3</v>
      </c>
    </row>
    <row r="18" spans="1:13" x14ac:dyDescent="0.25">
      <c r="A18" s="1">
        <v>11</v>
      </c>
      <c r="B18" s="1">
        <f>+IF(G17*F17 &lt; 0,B17,D17)</f>
        <v>5.7060546875</v>
      </c>
      <c r="C18" s="1">
        <f>+IF(G17*F17&lt;0,D17,C17)</f>
        <v>5.70654296875</v>
      </c>
      <c r="D18" s="1">
        <f>+(B18+C18)/2</f>
        <v>5.706298828125</v>
      </c>
      <c r="E18" s="1">
        <f>3*SIN(0.5*B18)-0.5*B18+2</f>
        <v>7.0410092313410999E-4</v>
      </c>
      <c r="F18" s="1">
        <f>3*SIN(0.5*D18)-0.5*D18+2</f>
        <v>2.3095498483405308E-4</v>
      </c>
      <c r="G18" s="1">
        <f>+ABS((D18-D17)/D18)*100</f>
        <v>4.2784409361228768E-3</v>
      </c>
      <c r="K18" s="6" t="s">
        <v>84</v>
      </c>
    </row>
    <row r="19" spans="1:13" x14ac:dyDescent="0.25">
      <c r="A19" s="1">
        <v>12</v>
      </c>
      <c r="B19" s="1">
        <f>+IF(G18*F18 &lt; 0,B18,D18)</f>
        <v>5.706298828125</v>
      </c>
      <c r="C19" s="1">
        <f>+IF(G18*F18&lt;0,D18,C18)</f>
        <v>5.70654296875</v>
      </c>
      <c r="D19" s="1">
        <f>+(B19+C19)/2</f>
        <v>5.7064208984375</v>
      </c>
      <c r="E19" s="1">
        <f>3*SIN(0.5*B19)-0.5*B19+2</f>
        <v>2.3095498483405308E-4</v>
      </c>
      <c r="F19" s="1">
        <f>3*SIN(0.5*D19)-0.5*D19+2</f>
        <v>-5.622753277645387E-6</v>
      </c>
      <c r="G19" s="1">
        <f>+ABS((D19-D18)/D19)*100</f>
        <v>2.1391747063982717E-3</v>
      </c>
    </row>
    <row r="20" spans="1:13" ht="17.25" x14ac:dyDescent="0.25">
      <c r="A20" s="1">
        <v>13</v>
      </c>
      <c r="B20" s="1">
        <f>+IF(G19*F19 &lt; 0,B19,D19)</f>
        <v>5.706298828125</v>
      </c>
      <c r="C20" s="1">
        <f>+IF(G19*F19&lt;0,D19,C19)</f>
        <v>5.7064208984375</v>
      </c>
      <c r="D20" s="1">
        <f>+(B20+C20)/2</f>
        <v>5.70635986328125</v>
      </c>
      <c r="E20" s="1">
        <f>3*SIN(0.5*B20)-0.5*B20+2</f>
        <v>2.3095498483405308E-4</v>
      </c>
      <c r="F20" s="1">
        <f>3*SIN(0.5*D20)-0.5*D20+2</f>
        <v>1.1266651312347165E-4</v>
      </c>
      <c r="G20" s="1">
        <f>+ABS((D20-D19)/D20)*100</f>
        <v>1.0695987934925609E-3</v>
      </c>
      <c r="K20" s="24" t="s">
        <v>85</v>
      </c>
    </row>
    <row r="21" spans="1:13" x14ac:dyDescent="0.25">
      <c r="A21" s="1">
        <v>14</v>
      </c>
      <c r="B21" s="1">
        <f>+IF(G20*F20 &lt; 0,B20,D20)</f>
        <v>5.70635986328125</v>
      </c>
      <c r="C21" s="1">
        <f>+IF(G20*F20&lt;0,D20,C20)</f>
        <v>5.7064208984375</v>
      </c>
      <c r="D21" s="1">
        <f>+(B21+C21)/2</f>
        <v>5.706390380859375</v>
      </c>
      <c r="E21" s="1">
        <f>3*SIN(0.5*B21)-0.5*B21+2</f>
        <v>1.1266651312347165E-4</v>
      </c>
      <c r="F21" s="1">
        <f>3*SIN(0.5*D21)-0.5*D21+2</f>
        <v>5.3521979254123053E-5</v>
      </c>
      <c r="G21" s="1">
        <f>+ABS((D21-D20)/D21)*100</f>
        <v>5.3479653665762864E-4</v>
      </c>
    </row>
    <row r="22" spans="1:13" ht="28.5" x14ac:dyDescent="0.45">
      <c r="A22" s="21" t="s">
        <v>97</v>
      </c>
      <c r="B22" s="34"/>
      <c r="C22" s="34"/>
      <c r="D22" s="34"/>
      <c r="E22" s="34"/>
      <c r="F22" s="16"/>
      <c r="G22" s="16"/>
      <c r="K22" s="6" t="s">
        <v>86</v>
      </c>
    </row>
    <row r="23" spans="1:13" ht="15.75" thickBot="1" x14ac:dyDescent="0.3">
      <c r="A23" s="35" t="s">
        <v>63</v>
      </c>
      <c r="B23" s="35" t="s">
        <v>41</v>
      </c>
      <c r="C23" s="35" t="s">
        <v>42</v>
      </c>
      <c r="D23" s="35" t="s">
        <v>43</v>
      </c>
      <c r="E23" s="35" t="s">
        <v>44</v>
      </c>
      <c r="F23" s="35" t="s">
        <v>15</v>
      </c>
    </row>
    <row r="24" spans="1:13" ht="16.5" customHeight="1" thickBot="1" x14ac:dyDescent="0.3">
      <c r="A24" s="1">
        <v>0</v>
      </c>
      <c r="B24" s="1">
        <v>5.5</v>
      </c>
      <c r="C24" s="1">
        <f>3*SIN(0.5*B24)-0.5*B24+2</f>
        <v>0.39498297615699496</v>
      </c>
      <c r="D24" s="1">
        <f>1.5*COS(0.5*B24)-0.5</f>
        <v>-1.8864535679486953</v>
      </c>
      <c r="E24" s="1">
        <f>B24 - (C24/D24)</f>
        <v>5.7093785836385544</v>
      </c>
      <c r="F24" s="1"/>
      <c r="K24" s="27" t="s">
        <v>0</v>
      </c>
      <c r="L24" s="27" t="s">
        <v>87</v>
      </c>
      <c r="M24" s="27" t="s">
        <v>7</v>
      </c>
    </row>
    <row r="25" spans="1:13" ht="21" customHeight="1" thickBot="1" x14ac:dyDescent="0.3">
      <c r="A25" s="1">
        <v>1</v>
      </c>
      <c r="B25" s="1">
        <f>E24</f>
        <v>5.7093785836385544</v>
      </c>
      <c r="C25" s="1">
        <f>3*SIN(0.5*B25)-0.5*B25+2</f>
        <v>-5.7387191946283167E-3</v>
      </c>
      <c r="D25" s="1">
        <f>1.5*COS(0.5*B25)-0.5</f>
        <v>-1.9386871554685092</v>
      </c>
      <c r="E25" s="1">
        <f>B25 - (C25/D25)</f>
        <v>5.7064184777862819</v>
      </c>
      <c r="F25" s="1">
        <f>+ABS((E25-B25)/E25)*100</f>
        <v>5.1873269789020182E-2</v>
      </c>
      <c r="K25" s="28">
        <v>0</v>
      </c>
      <c r="L25" s="28" t="s">
        <v>88</v>
      </c>
      <c r="M25" s="28" t="s">
        <v>9</v>
      </c>
    </row>
    <row r="26" spans="1:13" ht="18" customHeight="1" thickBot="1" x14ac:dyDescent="0.3">
      <c r="A26" s="1">
        <v>2</v>
      </c>
      <c r="B26" s="1">
        <f>E25</f>
        <v>5.7064184777862819</v>
      </c>
      <c r="C26" s="1">
        <f>3*SIN(0.5*B26)-0.5*B26+2</f>
        <v>-9.313918063469373E-7</v>
      </c>
      <c r="D26" s="1">
        <f>1.5*COS(0.5*B26)-0.5</f>
        <v>-1.9380573340457177</v>
      </c>
      <c r="E26" s="1">
        <f>B26 - (C26/D26)</f>
        <v>5.7064179972061719</v>
      </c>
      <c r="F26" s="1">
        <f>+ABS((E26-B26)/E26)*100</f>
        <v>8.421747410805724E-6</v>
      </c>
      <c r="K26" s="28">
        <v>1</v>
      </c>
      <c r="L26" s="28" t="s">
        <v>89</v>
      </c>
      <c r="M26" s="28" t="s">
        <v>9</v>
      </c>
    </row>
    <row r="27" spans="1:13" ht="21.75" customHeight="1" thickBot="1" x14ac:dyDescent="0.3">
      <c r="A27" s="1">
        <v>3</v>
      </c>
      <c r="B27" s="1">
        <f>E26</f>
        <v>5.7064179972061719</v>
      </c>
      <c r="C27" s="1">
        <f>3*SIN(0.5*B27)-0.5*B27+2</f>
        <v>-2.3980817331903381E-14</v>
      </c>
      <c r="D27" s="1">
        <f>1.5*COS(0.5*B27)-0.5</f>
        <v>-1.9380572315369406</v>
      </c>
      <c r="E27" s="1">
        <f>B27 - (C27/D27)</f>
        <v>5.7064179972061595</v>
      </c>
      <c r="F27" s="1">
        <f>+ABS((E27-B27)/E27)*100</f>
        <v>2.1790373368879804E-13</v>
      </c>
      <c r="K27" s="28">
        <v>5</v>
      </c>
      <c r="L27" s="28" t="s">
        <v>90</v>
      </c>
      <c r="M27" s="28" t="s">
        <v>9</v>
      </c>
    </row>
    <row r="28" spans="1:13" ht="18.75" customHeight="1" thickBot="1" x14ac:dyDescent="0.3">
      <c r="A28" s="1">
        <v>4</v>
      </c>
      <c r="B28" s="1">
        <f t="shared" ref="B28:B35" si="0">E27</f>
        <v>5.7064179972061595</v>
      </c>
      <c r="C28" s="1">
        <f t="shared" ref="C28:C35" si="1">3*SIN(0.5*B28)-0.5*B28+2</f>
        <v>0</v>
      </c>
      <c r="D28" s="1">
        <f t="shared" ref="D28:D35" si="2">1.5*COS(0.5*B28)-0.5</f>
        <v>-1.938057231536938</v>
      </c>
      <c r="E28" s="1">
        <f t="shared" ref="E28:E35" si="3">B28 - (C28/D28)</f>
        <v>5.7064179972061595</v>
      </c>
      <c r="F28" s="1">
        <f t="shared" ref="F28:F35" si="4">+ABS((E28-B28)/E28)*100</f>
        <v>0</v>
      </c>
      <c r="K28" s="27">
        <v>6</v>
      </c>
      <c r="L28" s="28" t="s">
        <v>91</v>
      </c>
      <c r="M28" s="28" t="s">
        <v>8</v>
      </c>
    </row>
    <row r="29" spans="1:13" ht="18" customHeight="1" thickBot="1" x14ac:dyDescent="0.3">
      <c r="A29">
        <v>5</v>
      </c>
      <c r="B29">
        <f t="shared" si="0"/>
        <v>5.7064179972061595</v>
      </c>
      <c r="C29">
        <f t="shared" si="1"/>
        <v>0</v>
      </c>
      <c r="D29">
        <f t="shared" si="2"/>
        <v>-1.938057231536938</v>
      </c>
      <c r="E29">
        <f t="shared" si="3"/>
        <v>5.7064179972061595</v>
      </c>
      <c r="F29">
        <f t="shared" si="4"/>
        <v>0</v>
      </c>
      <c r="K29" s="27">
        <v>7</v>
      </c>
      <c r="L29" s="28" t="s">
        <v>92</v>
      </c>
      <c r="M29" s="28" t="s">
        <v>8</v>
      </c>
    </row>
    <row r="30" spans="1:13" x14ac:dyDescent="0.25">
      <c r="A30">
        <v>6</v>
      </c>
      <c r="B30">
        <f t="shared" si="0"/>
        <v>5.7064179972061595</v>
      </c>
      <c r="C30">
        <f t="shared" si="1"/>
        <v>0</v>
      </c>
      <c r="D30">
        <f t="shared" si="2"/>
        <v>-1.938057231536938</v>
      </c>
      <c r="E30">
        <f t="shared" si="3"/>
        <v>5.7064179972061595</v>
      </c>
      <c r="F30">
        <f t="shared" si="4"/>
        <v>0</v>
      </c>
      <c r="K30" s="6" t="s">
        <v>93</v>
      </c>
    </row>
    <row r="31" spans="1:13" x14ac:dyDescent="0.25">
      <c r="A31">
        <v>7</v>
      </c>
      <c r="B31">
        <f t="shared" si="0"/>
        <v>5.7064179972061595</v>
      </c>
      <c r="C31">
        <f t="shared" si="1"/>
        <v>0</v>
      </c>
      <c r="D31">
        <f t="shared" si="2"/>
        <v>-1.938057231536938</v>
      </c>
      <c r="E31">
        <f t="shared" si="3"/>
        <v>5.7064179972061595</v>
      </c>
      <c r="F31">
        <f t="shared" si="4"/>
        <v>0</v>
      </c>
    </row>
    <row r="32" spans="1:13" x14ac:dyDescent="0.25">
      <c r="A32">
        <v>8</v>
      </c>
      <c r="B32">
        <f t="shared" si="0"/>
        <v>5.7064179972061595</v>
      </c>
      <c r="C32">
        <f t="shared" si="1"/>
        <v>0</v>
      </c>
      <c r="D32">
        <f t="shared" si="2"/>
        <v>-1.938057231536938</v>
      </c>
      <c r="E32">
        <f t="shared" si="3"/>
        <v>5.7064179972061595</v>
      </c>
      <c r="F32">
        <f t="shared" si="4"/>
        <v>0</v>
      </c>
    </row>
    <row r="33" spans="1:8" x14ac:dyDescent="0.25">
      <c r="A33">
        <v>9</v>
      </c>
      <c r="B33">
        <f t="shared" si="0"/>
        <v>5.7064179972061595</v>
      </c>
      <c r="C33">
        <f t="shared" si="1"/>
        <v>0</v>
      </c>
      <c r="D33">
        <f t="shared" si="2"/>
        <v>-1.938057231536938</v>
      </c>
      <c r="E33">
        <f t="shared" si="3"/>
        <v>5.7064179972061595</v>
      </c>
      <c r="F33">
        <f t="shared" si="4"/>
        <v>0</v>
      </c>
    </row>
    <row r="34" spans="1:8" x14ac:dyDescent="0.25">
      <c r="A34">
        <v>10</v>
      </c>
      <c r="B34">
        <f t="shared" si="0"/>
        <v>5.7064179972061595</v>
      </c>
      <c r="C34">
        <f t="shared" si="1"/>
        <v>0</v>
      </c>
      <c r="D34">
        <f t="shared" si="2"/>
        <v>-1.938057231536938</v>
      </c>
      <c r="E34">
        <f t="shared" si="3"/>
        <v>5.7064179972061595</v>
      </c>
      <c r="F34">
        <f t="shared" si="4"/>
        <v>0</v>
      </c>
    </row>
    <row r="39" spans="1:8" ht="26.25" x14ac:dyDescent="0.4">
      <c r="A39" s="21" t="s">
        <v>98</v>
      </c>
      <c r="B39" s="21"/>
      <c r="C39" s="21"/>
      <c r="D39" s="21"/>
      <c r="E39" s="21"/>
      <c r="F39" s="21"/>
      <c r="G39" s="16"/>
      <c r="H39" s="16"/>
    </row>
    <row r="40" spans="1:8" x14ac:dyDescent="0.25">
      <c r="A40" s="36" t="s">
        <v>99</v>
      </c>
      <c r="B40" s="36" t="s">
        <v>53</v>
      </c>
      <c r="C40" s="36" t="s">
        <v>41</v>
      </c>
      <c r="D40" s="36" t="s">
        <v>54</v>
      </c>
      <c r="E40" s="36" t="s">
        <v>42</v>
      </c>
      <c r="F40" s="36" t="s">
        <v>44</v>
      </c>
      <c r="G40" s="36" t="s">
        <v>15</v>
      </c>
    </row>
    <row r="41" spans="1:8" x14ac:dyDescent="0.25">
      <c r="A41" s="1">
        <v>0</v>
      </c>
      <c r="B41" s="1">
        <v>6</v>
      </c>
      <c r="C41" s="1">
        <v>5</v>
      </c>
      <c r="D41" s="1">
        <f>3*SIN(0.5*B41)-0.5*B41+2</f>
        <v>-0.57663997582039839</v>
      </c>
      <c r="E41" s="1">
        <f>3*SIN(0.5*C41)-0.5*C41+2</f>
        <v>1.2954164323118698</v>
      </c>
      <c r="F41" s="22">
        <f>+C41-E41*(B41-C41)/(D41-E41)</f>
        <v>5.6919751064575523</v>
      </c>
      <c r="G41" s="1"/>
    </row>
    <row r="42" spans="1:8" x14ac:dyDescent="0.25">
      <c r="A42" s="1">
        <v>1</v>
      </c>
      <c r="B42" s="1">
        <f>C41</f>
        <v>5</v>
      </c>
      <c r="C42" s="1">
        <f>F41</f>
        <v>5.6919751064575523</v>
      </c>
      <c r="D42" s="1">
        <f>3*SIN(0.5*B42)-0.5*B42+2</f>
        <v>1.2954164323118698</v>
      </c>
      <c r="E42" s="1">
        <f>3*SIN(0.5*C42)-0.5*C42+2</f>
        <v>2.7968721321341095E-2</v>
      </c>
      <c r="F42" s="22">
        <f>+C42-E42*(B42-C42)/(D42-E42)</f>
        <v>5.7072448952985386</v>
      </c>
      <c r="G42" s="1">
        <f>+ABS((F42-C42)/F42)*100</f>
        <v>0.26755096585333304</v>
      </c>
    </row>
    <row r="43" spans="1:8" x14ac:dyDescent="0.25">
      <c r="A43" s="1">
        <v>2</v>
      </c>
      <c r="B43" s="1">
        <f>C42</f>
        <v>5.6919751064575523</v>
      </c>
      <c r="C43" s="1">
        <f>F42</f>
        <v>5.7072448952985386</v>
      </c>
      <c r="D43" s="1">
        <f>3*SIN(0.5*B43)-0.5*B43+2</f>
        <v>2.7968721321341095E-2</v>
      </c>
      <c r="E43" s="1">
        <f>3*SIN(0.5*C43)-0.5*C43+2</f>
        <v>-1.6026487176219462E-3</v>
      </c>
      <c r="F43" s="22">
        <f>+C43-E43*(B43-C43)/(D43-E43)</f>
        <v>5.7064173344695304</v>
      </c>
      <c r="G43" s="1">
        <f>+ABS((F43-C43)/F43)*100</f>
        <v>1.4502283665959495E-2</v>
      </c>
    </row>
    <row r="44" spans="1:8" x14ac:dyDescent="0.25">
      <c r="A44" s="1">
        <v>3</v>
      </c>
      <c r="B44" s="1">
        <f>C43</f>
        <v>5.7072448952985386</v>
      </c>
      <c r="C44" s="1">
        <f>F43</f>
        <v>5.7064173344695304</v>
      </c>
      <c r="D44" s="1">
        <f>3*SIN(0.5*B44)-0.5*B44+2</f>
        <v>-1.6026487176219462E-3</v>
      </c>
      <c r="E44" s="1">
        <f>3*SIN(0.5*C44)-0.5*C44+2</f>
        <v>1.2844214698493062E-6</v>
      </c>
      <c r="F44" s="22">
        <f>+C44-E44*(B44-C44)/(D44-E44)</f>
        <v>5.7064179971760174</v>
      </c>
      <c r="G44" s="1">
        <f>+ABS((F44-C44)/F44)*100</f>
        <v>1.1613353374185318E-5</v>
      </c>
    </row>
    <row r="45" spans="1:8" x14ac:dyDescent="0.25">
      <c r="A45" s="1">
        <v>4</v>
      </c>
      <c r="B45" s="1">
        <f t="shared" ref="B45:B51" si="5">C44</f>
        <v>5.7064173344695304</v>
      </c>
      <c r="C45" s="1">
        <f t="shared" ref="C45:C51" si="6">F44</f>
        <v>5.7064179971760174</v>
      </c>
      <c r="D45" s="1">
        <f t="shared" ref="D45:D51" si="7">3*SIN(0.5*B45)-0.5*B45+2</f>
        <v>1.2844214698493062E-6</v>
      </c>
      <c r="E45" s="1">
        <f t="shared" ref="E45:E51" si="8">3*SIN(0.5*C45)-0.5*C45+2</f>
        <v>5.8417048975911712E-11</v>
      </c>
      <c r="F45" s="22">
        <f t="shared" ref="F45:F51" si="9">+C45-E45*(B45-C45)/(D45-E45)</f>
        <v>5.7064179972061595</v>
      </c>
      <c r="G45" s="1">
        <f t="shared" ref="G45:G51" si="10">+ABS((F45-C45)/F45)*100</f>
        <v>5.2821421501405291E-10</v>
      </c>
    </row>
    <row r="46" spans="1:8" x14ac:dyDescent="0.25">
      <c r="A46" s="1">
        <v>5</v>
      </c>
      <c r="B46" s="1">
        <f t="shared" si="5"/>
        <v>5.7064179971760174</v>
      </c>
      <c r="C46" s="1">
        <f t="shared" si="6"/>
        <v>5.7064179972061595</v>
      </c>
      <c r="D46" s="1">
        <f t="shared" si="7"/>
        <v>5.8417048975911712E-11</v>
      </c>
      <c r="E46" s="1">
        <f t="shared" si="8"/>
        <v>0</v>
      </c>
      <c r="F46" s="22">
        <f t="shared" si="9"/>
        <v>5.7064179972061595</v>
      </c>
      <c r="G46" s="1">
        <f t="shared" si="10"/>
        <v>0</v>
      </c>
    </row>
    <row r="47" spans="1:8" x14ac:dyDescent="0.25">
      <c r="A47" s="1">
        <v>6</v>
      </c>
      <c r="B47" s="1"/>
      <c r="C47" s="1"/>
      <c r="D47" s="1"/>
      <c r="E47" s="1"/>
      <c r="F47" s="22"/>
      <c r="G47" s="1"/>
    </row>
    <row r="48" spans="1:8" x14ac:dyDescent="0.25">
      <c r="A48" s="1">
        <v>7</v>
      </c>
      <c r="B48" s="1"/>
      <c r="C48" s="1"/>
      <c r="D48" s="1"/>
      <c r="E48" s="1"/>
      <c r="F48" s="22"/>
      <c r="G48" s="1"/>
    </row>
    <row r="49" spans="1:7" x14ac:dyDescent="0.25">
      <c r="A49" s="1">
        <v>8</v>
      </c>
      <c r="B49" s="1"/>
      <c r="C49" s="1"/>
      <c r="D49" s="1"/>
      <c r="E49" s="1"/>
      <c r="F49" s="22"/>
      <c r="G49" s="1"/>
    </row>
    <row r="50" spans="1:7" x14ac:dyDescent="0.25">
      <c r="A50" s="1">
        <v>9</v>
      </c>
      <c r="B50" s="1"/>
      <c r="C50" s="1"/>
      <c r="D50" s="1"/>
      <c r="E50" s="1"/>
      <c r="F50" s="22"/>
      <c r="G50" s="1"/>
    </row>
    <row r="51" spans="1:7" x14ac:dyDescent="0.25">
      <c r="A51" s="1">
        <v>10</v>
      </c>
      <c r="B51" s="1"/>
      <c r="C51" s="1"/>
      <c r="D51" s="1"/>
      <c r="E51" s="1"/>
      <c r="F51" s="22"/>
      <c r="G51" s="1"/>
    </row>
    <row r="56" spans="1:7" ht="23.25" x14ac:dyDescent="0.25">
      <c r="A56" s="37" t="s">
        <v>100</v>
      </c>
    </row>
    <row r="57" spans="1:7" x14ac:dyDescent="0.25">
      <c r="A57" s="6" t="s">
        <v>101</v>
      </c>
    </row>
    <row r="58" spans="1:7" ht="17.25" x14ac:dyDescent="0.25">
      <c r="A58" s="24" t="s">
        <v>102</v>
      </c>
    </row>
    <row r="59" spans="1:7" x14ac:dyDescent="0.25">
      <c r="A59" s="6" t="s">
        <v>103</v>
      </c>
    </row>
    <row r="60" spans="1:7" ht="15.75" thickBot="1" x14ac:dyDescent="0.3">
      <c r="A60" s="6" t="s">
        <v>116</v>
      </c>
    </row>
    <row r="61" spans="1:7" ht="35.25" customHeight="1" thickBot="1" x14ac:dyDescent="0.3">
      <c r="A61" s="38" t="s">
        <v>104</v>
      </c>
      <c r="B61" s="38" t="s">
        <v>105</v>
      </c>
      <c r="C61" s="38" t="s">
        <v>106</v>
      </c>
      <c r="D61" s="38" t="s">
        <v>107</v>
      </c>
    </row>
    <row r="62" spans="1:7" ht="30.75" customHeight="1" thickBot="1" x14ac:dyDescent="0.3">
      <c r="A62" s="38" t="s">
        <v>108</v>
      </c>
      <c r="B62" s="39" t="s">
        <v>114</v>
      </c>
      <c r="C62" s="39">
        <v>18</v>
      </c>
      <c r="D62" s="39" t="s">
        <v>109</v>
      </c>
    </row>
    <row r="63" spans="1:7" ht="30" customHeight="1" thickBot="1" x14ac:dyDescent="0.3">
      <c r="A63" s="38" t="s">
        <v>110</v>
      </c>
      <c r="B63" s="39" t="s">
        <v>115</v>
      </c>
      <c r="C63" s="38">
        <v>4</v>
      </c>
      <c r="D63" s="39" t="s">
        <v>111</v>
      </c>
    </row>
    <row r="64" spans="1:7" ht="33" customHeight="1" thickBot="1" x14ac:dyDescent="0.3">
      <c r="A64" s="38" t="s">
        <v>112</v>
      </c>
      <c r="B64" s="39" t="s">
        <v>115</v>
      </c>
      <c r="C64" s="38">
        <v>5</v>
      </c>
      <c r="D64" s="39" t="s">
        <v>113</v>
      </c>
    </row>
    <row r="65" spans="1:1" x14ac:dyDescent="0.25">
      <c r="A65" t="s">
        <v>117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C19E-5937-45B3-B5B5-B20CE27C53E6}">
  <dimension ref="A4:M68"/>
  <sheetViews>
    <sheetView topLeftCell="A53" workbookViewId="0">
      <selection activeCell="A53" sqref="A53"/>
    </sheetView>
  </sheetViews>
  <sheetFormatPr baseColWidth="10" defaultRowHeight="15" x14ac:dyDescent="0.25"/>
  <cols>
    <col min="2" max="2" width="23.5703125" customWidth="1"/>
    <col min="3" max="3" width="17.42578125" customWidth="1"/>
    <col min="4" max="4" width="22" customWidth="1"/>
    <col min="6" max="6" width="15.85546875" customWidth="1"/>
    <col min="7" max="7" width="19.7109375" customWidth="1"/>
    <col min="11" max="11" width="3.42578125" customWidth="1"/>
    <col min="12" max="12" width="28.28515625" customWidth="1"/>
  </cols>
  <sheetData>
    <row r="4" spans="1:13" ht="23.25" x14ac:dyDescent="0.25">
      <c r="K4" s="37" t="s">
        <v>124</v>
      </c>
    </row>
    <row r="5" spans="1:13" ht="26.25" x14ac:dyDescent="0.4">
      <c r="A5" s="21" t="s">
        <v>129</v>
      </c>
      <c r="B5" s="16"/>
      <c r="C5" s="16"/>
      <c r="D5" s="16"/>
      <c r="E5" s="16"/>
      <c r="F5" s="16"/>
      <c r="G5" s="16"/>
      <c r="H5" s="16"/>
      <c r="K5" s="6" t="s">
        <v>118</v>
      </c>
    </row>
    <row r="6" spans="1:13" x14ac:dyDescent="0.25">
      <c r="A6" s="33" t="s">
        <v>10</v>
      </c>
      <c r="B6" s="33" t="s">
        <v>11</v>
      </c>
      <c r="C6" s="33" t="s">
        <v>12</v>
      </c>
      <c r="D6" s="33" t="s">
        <v>62</v>
      </c>
      <c r="E6" s="33" t="s">
        <v>64</v>
      </c>
      <c r="F6" s="33" t="s">
        <v>14</v>
      </c>
      <c r="G6" s="33" t="s">
        <v>15</v>
      </c>
      <c r="K6" s="6" t="s">
        <v>119</v>
      </c>
    </row>
    <row r="7" spans="1:13" x14ac:dyDescent="0.25">
      <c r="A7" s="1">
        <v>0</v>
      </c>
      <c r="B7" s="1">
        <v>0</v>
      </c>
      <c r="C7" s="1">
        <v>1</v>
      </c>
      <c r="D7" s="1">
        <f>(B7+C7)/2</f>
        <v>0.5</v>
      </c>
      <c r="E7" s="1">
        <f>+B7^3-B7^2*EXP(-0.5*B7)-3*B7+1</f>
        <v>1</v>
      </c>
      <c r="F7" s="1">
        <f>+E7^3-E7^2*EXP(-0.5*E7)-3*E7+1</f>
        <v>-1.6065306597126332</v>
      </c>
      <c r="G7" s="1"/>
      <c r="K7" s="6" t="s">
        <v>120</v>
      </c>
    </row>
    <row r="8" spans="1:13" x14ac:dyDescent="0.25">
      <c r="A8" s="1">
        <v>1</v>
      </c>
      <c r="B8" s="1">
        <f>+IF(G7*F7&lt;0,B7,E7)</f>
        <v>1</v>
      </c>
      <c r="C8" s="1">
        <f>+IF(G7*F7&lt;0,E7,C7)</f>
        <v>1</v>
      </c>
      <c r="D8" s="1">
        <f>(B8+C8)/2</f>
        <v>1</v>
      </c>
      <c r="E8" s="1">
        <f>+B8^3-B8^2*EXP(-0.5*B8)-3*B8+1</f>
        <v>-1.6065306597126332</v>
      </c>
      <c r="F8" s="1">
        <f>+E8^3-E8^2*EXP(-0.5*E8)-3*E8+1</f>
        <v>-4.08954445578365</v>
      </c>
      <c r="G8" s="1">
        <f>+ABS((E8-E7)/E8)*100</f>
        <v>162.24593312018547</v>
      </c>
      <c r="K8" s="6" t="s">
        <v>121</v>
      </c>
    </row>
    <row r="9" spans="1:13" ht="17.25" x14ac:dyDescent="0.25">
      <c r="A9" s="1">
        <v>2</v>
      </c>
      <c r="B9" s="1">
        <f>+IF(G8*F8&lt;0,B8,E8)</f>
        <v>1</v>
      </c>
      <c r="C9" s="1">
        <f>+IF(G8*F8&lt;0,E8,C8)</f>
        <v>-1.6065306597126332</v>
      </c>
      <c r="D9" s="1">
        <f>(B9+C9)/2</f>
        <v>-0.3032653298563166</v>
      </c>
      <c r="E9" s="1">
        <f>+B9^3-B9^2*EXP(-0.5*B9)-3*B9+1</f>
        <v>-1.6065306597126332</v>
      </c>
      <c r="F9" s="1">
        <f>+E9^3-E9^2*EXP(-0.5*E9)-3*E9+1</f>
        <v>-4.08954445578365</v>
      </c>
      <c r="G9" s="1">
        <f>+ABS((E9-E8)/E9)*100</f>
        <v>0</v>
      </c>
      <c r="K9" s="24" t="s">
        <v>122</v>
      </c>
    </row>
    <row r="10" spans="1:13" ht="15.75" thickBot="1" x14ac:dyDescent="0.3">
      <c r="A10" s="1">
        <v>3</v>
      </c>
      <c r="B10" s="1">
        <f>+IF(G9*F9&lt;0,B9,E9)</f>
        <v>-1.6065306597126332</v>
      </c>
      <c r="C10" s="1">
        <f>+IF(G9*F9&lt;0,E9,C9)</f>
        <v>-1.6065306597126332</v>
      </c>
      <c r="D10" s="1">
        <f>(B10+C10)/2</f>
        <v>-1.6065306597126332</v>
      </c>
      <c r="E10" s="1">
        <f>+B10^3-B10^2*EXP(-0.5*B10)-3*B10+1</f>
        <v>-4.08954445578365</v>
      </c>
      <c r="F10" s="1">
        <f>+E10^3-E10^2*EXP(-0.5*E10)-3*E10+1</f>
        <v>-184.36233430478546</v>
      </c>
      <c r="G10" s="1">
        <f>+ABS((E10-E9)/E10)*100</f>
        <v>60.716146331638669</v>
      </c>
      <c r="K10" s="6" t="s">
        <v>123</v>
      </c>
    </row>
    <row r="11" spans="1:13" ht="18.75" customHeight="1" thickBot="1" x14ac:dyDescent="0.3">
      <c r="A11" s="1">
        <v>4</v>
      </c>
      <c r="B11" s="1">
        <f t="shared" ref="B11:B17" si="0">+IF(G10*F10&lt;0,B10,E10)</f>
        <v>-1.6065306597126332</v>
      </c>
      <c r="C11" s="1">
        <f t="shared" ref="C11:C17" si="1">+IF(G10*F10&lt;0,E10,C10)</f>
        <v>-4.08954445578365</v>
      </c>
      <c r="D11" s="1">
        <f t="shared" ref="D11:D17" si="2">(B11+C11)/2</f>
        <v>-2.8480375577481416</v>
      </c>
      <c r="E11" s="1">
        <f t="shared" ref="E11:E17" si="3">+B11^3-B11^2*EXP(-0.5*B11)-3*B11+1</f>
        <v>-4.08954445578365</v>
      </c>
      <c r="F11" s="1">
        <f t="shared" ref="F11:F17" si="4">+E11^3-E11^2*EXP(-0.5*E11)-3*E11+1</f>
        <v>-184.36233430478546</v>
      </c>
      <c r="G11" s="1">
        <f t="shared" ref="G11:G17" si="5">+ABS((E11-E10)/E11)*100</f>
        <v>0</v>
      </c>
      <c r="K11" s="38" t="s">
        <v>0</v>
      </c>
      <c r="L11" s="38" t="s">
        <v>125</v>
      </c>
      <c r="M11" s="38" t="s">
        <v>7</v>
      </c>
    </row>
    <row r="12" spans="1:13" ht="15.75" thickBot="1" x14ac:dyDescent="0.3">
      <c r="A12" s="1">
        <v>5</v>
      </c>
      <c r="B12" s="1">
        <f t="shared" si="0"/>
        <v>-4.08954445578365</v>
      </c>
      <c r="C12" s="1">
        <f t="shared" si="1"/>
        <v>-4.08954445578365</v>
      </c>
      <c r="D12" s="1">
        <f t="shared" si="2"/>
        <v>-4.08954445578365</v>
      </c>
      <c r="E12" s="1">
        <f t="shared" si="3"/>
        <v>-184.36233430478546</v>
      </c>
      <c r="F12" s="1">
        <f t="shared" si="4"/>
        <v>-3.6738094446232259E+44</v>
      </c>
      <c r="G12" s="1">
        <f t="shared" si="5"/>
        <v>97.7817896094639</v>
      </c>
      <c r="K12" s="39">
        <v>0</v>
      </c>
      <c r="L12" s="39" t="s">
        <v>126</v>
      </c>
      <c r="M12" s="39" t="s">
        <v>9</v>
      </c>
    </row>
    <row r="13" spans="1:13" ht="16.5" customHeight="1" thickBot="1" x14ac:dyDescent="0.3">
      <c r="A13" s="1">
        <v>6</v>
      </c>
      <c r="B13" s="1">
        <f t="shared" si="0"/>
        <v>-4.08954445578365</v>
      </c>
      <c r="C13" s="1">
        <f t="shared" si="1"/>
        <v>-184.36233430478546</v>
      </c>
      <c r="D13" s="1">
        <f t="shared" si="2"/>
        <v>-94.225939380284558</v>
      </c>
      <c r="E13" s="1">
        <f t="shared" si="3"/>
        <v>-184.36233430478546</v>
      </c>
      <c r="F13" s="1">
        <f t="shared" si="4"/>
        <v>-3.6738094446232259E+44</v>
      </c>
      <c r="G13" s="1">
        <f t="shared" si="5"/>
        <v>0</v>
      </c>
      <c r="K13" s="39">
        <v>1</v>
      </c>
      <c r="L13" s="39" t="s">
        <v>127</v>
      </c>
      <c r="M13" s="39" t="s">
        <v>8</v>
      </c>
    </row>
    <row r="14" spans="1:13" x14ac:dyDescent="0.25">
      <c r="A14" s="1">
        <v>7</v>
      </c>
      <c r="B14" s="1"/>
      <c r="C14" s="1"/>
      <c r="D14" s="1"/>
      <c r="E14" s="1"/>
      <c r="F14" s="1"/>
      <c r="G14" s="1"/>
      <c r="K14" t="s">
        <v>128</v>
      </c>
    </row>
    <row r="15" spans="1:13" x14ac:dyDescent="0.25">
      <c r="A15" s="1">
        <v>8</v>
      </c>
      <c r="B15" s="1"/>
      <c r="C15" s="1"/>
      <c r="D15" s="1"/>
      <c r="E15" s="1"/>
      <c r="F15" s="1"/>
      <c r="G15" s="1"/>
      <c r="K15" s="6"/>
    </row>
    <row r="16" spans="1:13" x14ac:dyDescent="0.25">
      <c r="A16" s="1">
        <v>9</v>
      </c>
      <c r="B16" s="1"/>
      <c r="C16" s="1"/>
      <c r="D16" s="1"/>
      <c r="E16" s="1"/>
      <c r="F16" s="1"/>
      <c r="G16" s="1"/>
    </row>
    <row r="17" spans="1:8" x14ac:dyDescent="0.25">
      <c r="A17" s="1">
        <v>10</v>
      </c>
      <c r="B17" s="1"/>
      <c r="C17" s="1"/>
      <c r="D17" s="1"/>
      <c r="E17" s="1"/>
      <c r="F17" s="1"/>
      <c r="G17" s="1"/>
    </row>
    <row r="22" spans="1:8" ht="26.25" x14ac:dyDescent="0.4">
      <c r="A22" s="40" t="s">
        <v>130</v>
      </c>
      <c r="B22" s="16"/>
      <c r="C22" s="16"/>
      <c r="D22" s="16"/>
      <c r="E22" s="16"/>
      <c r="F22" s="16"/>
      <c r="G22" s="16"/>
      <c r="H22" s="16"/>
    </row>
    <row r="23" spans="1:8" x14ac:dyDescent="0.25">
      <c r="A23" s="35" t="s">
        <v>131</v>
      </c>
      <c r="B23" s="35" t="s">
        <v>41</v>
      </c>
      <c r="C23" s="35" t="s">
        <v>42</v>
      </c>
      <c r="D23" s="35" t="s">
        <v>43</v>
      </c>
      <c r="E23" s="35" t="s">
        <v>44</v>
      </c>
      <c r="F23" s="35" t="s">
        <v>15</v>
      </c>
    </row>
    <row r="24" spans="1:8" x14ac:dyDescent="0.25">
      <c r="A24" s="1">
        <v>0</v>
      </c>
      <c r="B24" s="1">
        <v>0.5</v>
      </c>
      <c r="C24" s="1">
        <f>+B24^3 -B24^2*EXP(-0.5*B24)-3*B24+1</f>
        <v>-0.56970019576785114</v>
      </c>
      <c r="D24" s="1">
        <f>3*B24^2-2*B24*EXP(-0.5*B24) + 0.5*B24^2*EXP(-0.5*B24)-3</f>
        <v>-2.9314506851874791</v>
      </c>
      <c r="E24" s="1">
        <f>B24 - (C24/D24)</f>
        <v>0.30565929399852199</v>
      </c>
      <c r="F24" s="1"/>
    </row>
    <row r="25" spans="1:8" x14ac:dyDescent="0.25">
      <c r="A25" s="1">
        <v>1</v>
      </c>
      <c r="B25" s="1">
        <f>E24</f>
        <v>0.30565929399852199</v>
      </c>
      <c r="C25" s="1">
        <f>+B25^3-B25^2*EXP(-0.5*B25)-3*B25+1</f>
        <v>3.1392470773618286E-2</v>
      </c>
      <c r="D25" s="1">
        <f>3*B25^2-2*B25*EXP(-0.5*B25)+0.5*B25^2*EXP(-0.5*B25)-3</f>
        <v>-3.2043038796807681</v>
      </c>
      <c r="E25" s="1">
        <f>B25 - (C25/D25)</f>
        <v>0.31545626455823861</v>
      </c>
      <c r="F25" s="1">
        <f>+ABS((E25-B25)/E25)*100</f>
        <v>3.1056509761935427</v>
      </c>
    </row>
    <row r="26" spans="1:8" x14ac:dyDescent="0.25">
      <c r="A26" s="1">
        <v>2</v>
      </c>
      <c r="B26" s="1">
        <f>E25</f>
        <v>0.31545626455823861</v>
      </c>
      <c r="C26" s="1">
        <f>+B26^3-B26^2*EXP(-0.5*B26)-3*B26+1</f>
        <v>3.113462393733446E-5</v>
      </c>
      <c r="D26" s="1">
        <f>3*B26^2-2*B26*EXP(-0.5*B26)+0.5*B26^2*EXP(-0.5*B26)-3</f>
        <v>-3.1978170561237667</v>
      </c>
      <c r="E26" s="1">
        <f>B26 - (C26/D26)</f>
        <v>0.31546600076997022</v>
      </c>
      <c r="F26" s="1">
        <f>+ABS((E26-B26)/E26)*100</f>
        <v>3.0862951024361101E-3</v>
      </c>
    </row>
    <row r="27" spans="1:8" x14ac:dyDescent="0.25">
      <c r="A27" s="1">
        <v>3</v>
      </c>
      <c r="B27" s="1">
        <f>E26</f>
        <v>0.31546600076997022</v>
      </c>
      <c r="C27" s="1">
        <f>+B27^3-B27^2*EXP(-0.5*B27)-3*B27+1</f>
        <v>3.3282265832212943E-11</v>
      </c>
      <c r="D27" s="1">
        <f>3*B27^2-2*B27*EXP(-0.5*B27)+0.5*B27^2*EXP(-0.5*B27)-3</f>
        <v>-3.19781021919554</v>
      </c>
      <c r="E27" s="1">
        <f>B27 - (C27/D27)</f>
        <v>0.31546600078037806</v>
      </c>
      <c r="F27" s="1">
        <f>+ABS((E27-B27)/E27)*100</f>
        <v>3.2991958657204135E-9</v>
      </c>
    </row>
    <row r="28" spans="1:8" x14ac:dyDescent="0.25">
      <c r="A28" s="1">
        <v>4</v>
      </c>
      <c r="B28" s="1">
        <f>E27</f>
        <v>0.31546600078037806</v>
      </c>
      <c r="C28" s="1">
        <f>+B28^3-B28^2*EXP(-0.5*B28)-3*B28+1</f>
        <v>0</v>
      </c>
      <c r="D28" s="1">
        <f>3*B28^2-2*B28*EXP(-0.5*B28)+0.5*B28^2*EXP(-0.5*B28)-3</f>
        <v>-3.1978102191882312</v>
      </c>
      <c r="E28" s="1">
        <f>B28 - (C28/D28)</f>
        <v>0.31546600078037806</v>
      </c>
      <c r="F28" s="1">
        <f>+ABS((E28-B28)/E28)*100</f>
        <v>0</v>
      </c>
    </row>
    <row r="29" spans="1:8" x14ac:dyDescent="0.25">
      <c r="A29">
        <v>5</v>
      </c>
      <c r="B29">
        <f t="shared" ref="B29:B34" si="6">E28</f>
        <v>0.31546600078037806</v>
      </c>
      <c r="C29">
        <f t="shared" ref="C29:C34" si="7">+B29^3-B29^2*EXP(-0.5*B29)-3*B29+1</f>
        <v>0</v>
      </c>
      <c r="D29">
        <f t="shared" ref="D29:D34" si="8">3*B29^2-2*B29*EXP(-0.5*B29)+0.5*B29^2*EXP(-0.5*B29)-3</f>
        <v>-3.1978102191882312</v>
      </c>
      <c r="E29">
        <f t="shared" ref="E29:E34" si="9">B29 - (C29/D29)</f>
        <v>0.31546600078037806</v>
      </c>
      <c r="F29">
        <f t="shared" ref="F29:F34" si="10">+ABS((E29-B29)/E29)*100</f>
        <v>0</v>
      </c>
    </row>
    <row r="30" spans="1:8" x14ac:dyDescent="0.25">
      <c r="A30">
        <v>6</v>
      </c>
      <c r="B30">
        <f t="shared" si="6"/>
        <v>0.31546600078037806</v>
      </c>
      <c r="C30">
        <f t="shared" si="7"/>
        <v>0</v>
      </c>
      <c r="D30">
        <f t="shared" si="8"/>
        <v>-3.1978102191882312</v>
      </c>
      <c r="E30">
        <f t="shared" si="9"/>
        <v>0.31546600078037806</v>
      </c>
      <c r="F30">
        <f t="shared" si="10"/>
        <v>0</v>
      </c>
    </row>
    <row r="31" spans="1:8" x14ac:dyDescent="0.25">
      <c r="A31">
        <v>7</v>
      </c>
      <c r="B31">
        <f t="shared" si="6"/>
        <v>0.31546600078037806</v>
      </c>
      <c r="C31">
        <f t="shared" si="7"/>
        <v>0</v>
      </c>
      <c r="D31">
        <f t="shared" si="8"/>
        <v>-3.1978102191882312</v>
      </c>
      <c r="E31">
        <f t="shared" si="9"/>
        <v>0.31546600078037806</v>
      </c>
      <c r="F31">
        <f t="shared" si="10"/>
        <v>0</v>
      </c>
    </row>
    <row r="32" spans="1:8" x14ac:dyDescent="0.25">
      <c r="A32">
        <v>8</v>
      </c>
      <c r="B32">
        <f t="shared" si="6"/>
        <v>0.31546600078037806</v>
      </c>
      <c r="C32">
        <f t="shared" si="7"/>
        <v>0</v>
      </c>
      <c r="D32">
        <f t="shared" si="8"/>
        <v>-3.1978102191882312</v>
      </c>
      <c r="E32">
        <f t="shared" si="9"/>
        <v>0.31546600078037806</v>
      </c>
      <c r="F32">
        <f t="shared" si="10"/>
        <v>0</v>
      </c>
    </row>
    <row r="33" spans="1:8" x14ac:dyDescent="0.25">
      <c r="A33">
        <v>9</v>
      </c>
      <c r="B33">
        <f t="shared" si="6"/>
        <v>0.31546600078037806</v>
      </c>
      <c r="C33">
        <f t="shared" si="7"/>
        <v>0</v>
      </c>
      <c r="D33">
        <f t="shared" si="8"/>
        <v>-3.1978102191882312</v>
      </c>
      <c r="E33">
        <f t="shared" si="9"/>
        <v>0.31546600078037806</v>
      </c>
      <c r="F33">
        <f t="shared" si="10"/>
        <v>0</v>
      </c>
    </row>
    <row r="34" spans="1:8" x14ac:dyDescent="0.25">
      <c r="A34">
        <v>10</v>
      </c>
      <c r="B34">
        <f t="shared" si="6"/>
        <v>0.31546600078037806</v>
      </c>
      <c r="C34">
        <f t="shared" si="7"/>
        <v>0</v>
      </c>
      <c r="D34">
        <f t="shared" si="8"/>
        <v>-3.1978102191882312</v>
      </c>
      <c r="E34">
        <f t="shared" si="9"/>
        <v>0.31546600078037806</v>
      </c>
      <c r="F34">
        <f t="shared" si="10"/>
        <v>0</v>
      </c>
    </row>
    <row r="39" spans="1:8" ht="26.25" x14ac:dyDescent="0.4">
      <c r="A39" s="21" t="s">
        <v>132</v>
      </c>
      <c r="B39" s="21"/>
      <c r="C39" s="21"/>
      <c r="D39" s="21"/>
      <c r="E39" s="21"/>
      <c r="F39" s="21"/>
      <c r="G39" s="16"/>
      <c r="H39" s="16"/>
    </row>
    <row r="40" spans="1:8" x14ac:dyDescent="0.25">
      <c r="A40" s="36" t="s">
        <v>99</v>
      </c>
      <c r="B40" s="36" t="s">
        <v>53</v>
      </c>
      <c r="C40" s="36" t="s">
        <v>41</v>
      </c>
      <c r="D40" s="36" t="s">
        <v>54</v>
      </c>
      <c r="E40" s="36" t="s">
        <v>42</v>
      </c>
      <c r="F40" s="36" t="s">
        <v>44</v>
      </c>
      <c r="G40" s="36" t="s">
        <v>15</v>
      </c>
    </row>
    <row r="41" spans="1:8" x14ac:dyDescent="0.25">
      <c r="A41" s="1">
        <v>0</v>
      </c>
      <c r="B41" s="1">
        <v>1</v>
      </c>
      <c r="C41" s="1">
        <v>0</v>
      </c>
      <c r="D41" s="1">
        <f>+B41^3-B41^2*EXP(-0.5*B41)-3*B41+1</f>
        <v>-1.6065306597126332</v>
      </c>
      <c r="E41" s="1">
        <f>+C41^3-C41^2*EXP(-0.5*C41)-3*C41+1</f>
        <v>1</v>
      </c>
      <c r="F41" s="22">
        <f>+C41-E41*(B41-C41)/(D41-E41)</f>
        <v>0.38365173119055074</v>
      </c>
      <c r="G41" s="1"/>
    </row>
    <row r="42" spans="1:8" x14ac:dyDescent="0.25">
      <c r="A42" s="1">
        <v>1</v>
      </c>
      <c r="B42" s="1">
        <f>C41</f>
        <v>0</v>
      </c>
      <c r="C42" s="1">
        <f>F41</f>
        <v>0.38365173119055074</v>
      </c>
      <c r="D42" s="1">
        <f>+B42^3-B42^2*EXP(-0.5*B42)-3*B42+1</f>
        <v>1</v>
      </c>
      <c r="E42" s="1">
        <f>+C42^3-C42^2*EXP(-0.5*C42)-3*C42+1</f>
        <v>-0.21598297232874852</v>
      </c>
      <c r="F42" s="22">
        <f>+C42 - E42*(B42-C42)/(D42-E42)</f>
        <v>0.3155074864706478</v>
      </c>
      <c r="G42" s="1">
        <f>+ABS((F42-C42)/F42)*100</f>
        <v>21.598297232874856</v>
      </c>
    </row>
    <row r="43" spans="1:8" x14ac:dyDescent="0.25">
      <c r="A43" s="1">
        <v>2</v>
      </c>
      <c r="B43" s="1">
        <f>C42</f>
        <v>0.38365173119055074</v>
      </c>
      <c r="C43" s="1">
        <f>F42</f>
        <v>0.3155074864706478</v>
      </c>
      <c r="D43" s="1">
        <f>+B43^3-B43^2*EXP(-0.5*B43)-3*B43+1</f>
        <v>-0.21598297232874852</v>
      </c>
      <c r="E43" s="1">
        <f>+C43^3-C43^2*EXP(-0.5*C43)-3*C43+1</f>
        <v>-1.326627598841057E-4</v>
      </c>
      <c r="F43" s="22">
        <f>+C43 - E43*(B43-C43)/(D43-E43)</f>
        <v>0.31546560465174833</v>
      </c>
      <c r="G43" s="1">
        <f>+ABS((F43-C43)/F43)*100</f>
        <v>1.327619185162965E-2</v>
      </c>
    </row>
    <row r="44" spans="1:8" x14ac:dyDescent="0.25">
      <c r="A44" s="1">
        <v>3</v>
      </c>
      <c r="B44" s="1">
        <f t="shared" ref="B44:B50" si="11">C43</f>
        <v>0.3155074864706478</v>
      </c>
      <c r="C44" s="1">
        <f t="shared" ref="C44:C50" si="12">F43</f>
        <v>0.31546560465174833</v>
      </c>
      <c r="D44" s="1">
        <f t="shared" ref="D44:D50" si="13">+B44^3-B44^2*EXP(-0.5*B44)-3*B44+1</f>
        <v>-1.326627598841057E-4</v>
      </c>
      <c r="E44" s="1">
        <f t="shared" ref="E44:E50" si="14">+C44^3-C44^2*EXP(-0.5*C44)-3*C44+1</f>
        <v>1.2667442352842784E-6</v>
      </c>
      <c r="F44" s="22">
        <f t="shared" ref="F44:F50" si="15">+C44 - E44*(B44-C44)/(D44-E44)</f>
        <v>0.31546600078218279</v>
      </c>
      <c r="G44" s="1">
        <f t="shared" ref="G44:G50" si="16">+ABS((F44-C44)/F44)*100</f>
        <v>1.2556992939728753E-4</v>
      </c>
    </row>
    <row r="45" spans="1:8" x14ac:dyDescent="0.25">
      <c r="A45" s="1">
        <v>4</v>
      </c>
      <c r="B45" s="1">
        <f t="shared" si="11"/>
        <v>0.31546560465174833</v>
      </c>
      <c r="C45" s="1">
        <f t="shared" si="12"/>
        <v>0.31546600078218279</v>
      </c>
      <c r="D45" s="1">
        <f t="shared" si="13"/>
        <v>1.2667442352842784E-6</v>
      </c>
      <c r="E45" s="1">
        <f t="shared" si="14"/>
        <v>-5.7711613266064887E-12</v>
      </c>
      <c r="F45" s="22">
        <f t="shared" si="15"/>
        <v>0.31546600078037806</v>
      </c>
      <c r="G45" s="1">
        <f t="shared" si="16"/>
        <v>5.7208162946720839E-10</v>
      </c>
    </row>
    <row r="46" spans="1:8" x14ac:dyDescent="0.25">
      <c r="A46" s="1">
        <v>5</v>
      </c>
      <c r="B46" s="1">
        <f t="shared" si="11"/>
        <v>0.31546600078218279</v>
      </c>
      <c r="C46" s="1">
        <f t="shared" si="12"/>
        <v>0.31546600078037806</v>
      </c>
      <c r="D46" s="1">
        <f t="shared" si="13"/>
        <v>-5.7711613266064887E-12</v>
      </c>
      <c r="E46" s="1">
        <f t="shared" si="14"/>
        <v>0</v>
      </c>
      <c r="F46" s="22">
        <f t="shared" si="15"/>
        <v>0.31546600078037806</v>
      </c>
      <c r="G46" s="1">
        <f t="shared" si="16"/>
        <v>0</v>
      </c>
    </row>
    <row r="47" spans="1:8" x14ac:dyDescent="0.25">
      <c r="A47" s="1">
        <v>6</v>
      </c>
      <c r="B47" s="1"/>
      <c r="C47" s="1"/>
      <c r="D47" s="1"/>
      <c r="E47" s="1"/>
      <c r="F47" s="22"/>
      <c r="G47" s="1"/>
    </row>
    <row r="48" spans="1:8" x14ac:dyDescent="0.25">
      <c r="A48" s="1">
        <v>7</v>
      </c>
      <c r="B48" s="1"/>
      <c r="C48" s="1"/>
      <c r="D48" s="1"/>
      <c r="E48" s="1"/>
      <c r="F48" s="22"/>
      <c r="G48" s="1"/>
    </row>
    <row r="49" spans="1:7" x14ac:dyDescent="0.25">
      <c r="A49" s="1">
        <v>8</v>
      </c>
      <c r="B49" s="1"/>
      <c r="C49" s="1"/>
      <c r="D49" s="1"/>
      <c r="E49" s="1"/>
      <c r="F49" s="22"/>
      <c r="G49" s="1"/>
    </row>
    <row r="50" spans="1:7" x14ac:dyDescent="0.25">
      <c r="A50" s="1">
        <v>9</v>
      </c>
      <c r="B50" s="1"/>
      <c r="C50" s="1"/>
      <c r="D50" s="1"/>
      <c r="E50" s="1"/>
      <c r="F50" s="22"/>
      <c r="G50" s="1"/>
    </row>
    <row r="51" spans="1:7" x14ac:dyDescent="0.25">
      <c r="A51" s="1">
        <v>10</v>
      </c>
      <c r="B51" s="1"/>
      <c r="C51" s="1"/>
      <c r="D51" s="1"/>
      <c r="E51" s="1"/>
      <c r="F51" s="1"/>
      <c r="G51" s="1"/>
    </row>
    <row r="55" spans="1:7" ht="23.25" x14ac:dyDescent="0.25">
      <c r="A55" s="37" t="s">
        <v>100</v>
      </c>
    </row>
    <row r="56" spans="1:7" ht="17.25" x14ac:dyDescent="0.25">
      <c r="A56" s="24" t="s">
        <v>102</v>
      </c>
    </row>
    <row r="57" spans="1:7" x14ac:dyDescent="0.25">
      <c r="A57" s="6" t="s">
        <v>133</v>
      </c>
    </row>
    <row r="58" spans="1:7" ht="15.75" thickBot="1" x14ac:dyDescent="0.3">
      <c r="A58" s="6" t="s">
        <v>134</v>
      </c>
    </row>
    <row r="59" spans="1:7" ht="60.75" thickBot="1" x14ac:dyDescent="0.3">
      <c r="A59" s="38" t="s">
        <v>104</v>
      </c>
      <c r="B59" s="38" t="s">
        <v>105</v>
      </c>
      <c r="C59" s="38" t="s">
        <v>106</v>
      </c>
      <c r="D59" s="38" t="s">
        <v>107</v>
      </c>
    </row>
    <row r="60" spans="1:7" ht="43.5" thickBot="1" x14ac:dyDescent="0.3">
      <c r="A60" s="38" t="s">
        <v>108</v>
      </c>
      <c r="B60" s="39" t="s">
        <v>135</v>
      </c>
      <c r="C60" s="39">
        <v>15</v>
      </c>
      <c r="D60" s="39" t="s">
        <v>136</v>
      </c>
    </row>
    <row r="61" spans="1:7" ht="43.5" thickBot="1" x14ac:dyDescent="0.3">
      <c r="A61" s="38" t="s">
        <v>110</v>
      </c>
      <c r="B61" s="39" t="s">
        <v>137</v>
      </c>
      <c r="C61" s="38">
        <v>4</v>
      </c>
      <c r="D61" s="39" t="s">
        <v>111</v>
      </c>
    </row>
    <row r="62" spans="1:7" ht="43.5" thickBot="1" x14ac:dyDescent="0.3">
      <c r="A62" s="38" t="s">
        <v>112</v>
      </c>
      <c r="B62" s="39" t="s">
        <v>137</v>
      </c>
      <c r="C62" s="38">
        <v>5</v>
      </c>
      <c r="D62" s="39" t="s">
        <v>113</v>
      </c>
    </row>
    <row r="66" spans="1:1" x14ac:dyDescent="0.25">
      <c r="A66" s="6" t="s">
        <v>140</v>
      </c>
    </row>
    <row r="67" spans="1:1" x14ac:dyDescent="0.25">
      <c r="A67" s="41" t="s">
        <v>139</v>
      </c>
    </row>
    <row r="68" spans="1:1" x14ac:dyDescent="0.25">
      <c r="A68" s="4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C63B-EB46-430C-AF29-CA46ECF5A3A5}">
  <dimension ref="A1:N68"/>
  <sheetViews>
    <sheetView tabSelected="1" topLeftCell="A56" workbookViewId="0">
      <selection activeCell="G64" sqref="G64"/>
    </sheetView>
  </sheetViews>
  <sheetFormatPr baseColWidth="10" defaultRowHeight="15" x14ac:dyDescent="0.25"/>
  <cols>
    <col min="2" max="2" width="19.28515625" customWidth="1"/>
    <col min="3" max="3" width="16" customWidth="1"/>
    <col min="4" max="4" width="27.7109375" customWidth="1"/>
    <col min="5" max="5" width="13" customWidth="1"/>
    <col min="6" max="6" width="16.42578125" customWidth="1"/>
    <col min="7" max="7" width="16.7109375" customWidth="1"/>
    <col min="12" max="12" width="6.5703125" customWidth="1"/>
    <col min="13" max="13" width="29.42578125" customWidth="1"/>
    <col min="14" max="14" width="6" customWidth="1"/>
  </cols>
  <sheetData>
    <row r="1" spans="1:14" x14ac:dyDescent="0.25">
      <c r="A1" s="6" t="s">
        <v>141</v>
      </c>
    </row>
    <row r="2" spans="1:14" x14ac:dyDescent="0.25">
      <c r="A2" s="6" t="s">
        <v>142</v>
      </c>
    </row>
    <row r="3" spans="1:14" ht="23.25" x14ac:dyDescent="0.25">
      <c r="A3" s="6"/>
      <c r="L3" s="37" t="s">
        <v>124</v>
      </c>
    </row>
    <row r="4" spans="1:14" x14ac:dyDescent="0.25">
      <c r="L4" s="6" t="s">
        <v>143</v>
      </c>
    </row>
    <row r="5" spans="1:14" ht="26.25" x14ac:dyDescent="0.4">
      <c r="A5" s="21" t="s">
        <v>154</v>
      </c>
      <c r="B5" s="42"/>
      <c r="C5" s="42"/>
      <c r="D5" s="42"/>
      <c r="E5" s="42"/>
      <c r="F5" s="42"/>
      <c r="G5" s="42"/>
      <c r="H5" s="42"/>
      <c r="L5" s="24" t="s">
        <v>144</v>
      </c>
    </row>
    <row r="6" spans="1:14" x14ac:dyDescent="0.25">
      <c r="A6" s="33" t="s">
        <v>131</v>
      </c>
      <c r="B6" s="33" t="s">
        <v>11</v>
      </c>
      <c r="C6" s="33" t="s">
        <v>12</v>
      </c>
      <c r="D6" s="33" t="s">
        <v>62</v>
      </c>
      <c r="E6" s="33" t="s">
        <v>64</v>
      </c>
      <c r="F6" s="33" t="s">
        <v>14</v>
      </c>
      <c r="G6" s="33" t="s">
        <v>15</v>
      </c>
      <c r="L6" s="6" t="s">
        <v>146</v>
      </c>
    </row>
    <row r="7" spans="1:14" x14ac:dyDescent="0.25">
      <c r="A7" s="1">
        <v>0</v>
      </c>
      <c r="B7" s="1">
        <v>1</v>
      </c>
      <c r="C7" s="1">
        <v>2</v>
      </c>
      <c r="D7" s="1">
        <f>(B7+C7)/2</f>
        <v>1.5</v>
      </c>
      <c r="E7" s="1">
        <f>EXP(-B7) - LN(B7)</f>
        <v>0.36787944117144233</v>
      </c>
      <c r="F7" s="1">
        <f>EXP(-E7) - LN(E7)</f>
        <v>1.6922006275553465</v>
      </c>
      <c r="G7" s="1"/>
      <c r="L7" s="6" t="s">
        <v>145</v>
      </c>
    </row>
    <row r="8" spans="1:14" ht="17.25" x14ac:dyDescent="0.25">
      <c r="A8" s="1">
        <v>1</v>
      </c>
      <c r="B8" s="1">
        <f>+IF(G7*F7&lt;0,B7,E7)</f>
        <v>0.36787944117144233</v>
      </c>
      <c r="C8" s="1">
        <f>+IF(G7*F7&lt;0,E7,C7)</f>
        <v>2</v>
      </c>
      <c r="D8" s="1">
        <f>+(B8+C8)/2</f>
        <v>1.1839397205857212</v>
      </c>
      <c r="E8" s="1">
        <f>+EXP(-B8) - LN(B8)</f>
        <v>1.6922006275553465</v>
      </c>
      <c r="F8" s="1">
        <f>+EXP(-E8) - LN(E8)</f>
        <v>-0.34191591665148735</v>
      </c>
      <c r="G8" s="1">
        <f>+ABS((E8-E7)/E8)*100</f>
        <v>78.260294011183362</v>
      </c>
      <c r="L8" s="24" t="s">
        <v>147</v>
      </c>
    </row>
    <row r="9" spans="1:14" ht="15.75" thickBot="1" x14ac:dyDescent="0.3">
      <c r="A9" s="1">
        <v>2</v>
      </c>
      <c r="B9" s="1">
        <f>+IF(G8*F8&lt;0,B8,E8)</f>
        <v>0.36787944117144233</v>
      </c>
      <c r="C9" s="1">
        <f>+IF(G8*F8&lt;0,E8,C8)</f>
        <v>1.6922006275553465</v>
      </c>
      <c r="D9" s="1">
        <f>+(B9+C9)/2</f>
        <v>1.0300400343633944</v>
      </c>
      <c r="E9" s="1">
        <f>+EXP(-B9) - LN(B9)</f>
        <v>1.6922006275553465</v>
      </c>
      <c r="F9" s="1">
        <f>+EXP(-E9) - LN(E9)</f>
        <v>-0.34191591665148735</v>
      </c>
      <c r="G9" s="1">
        <f>+ABS((E9-E8)/E9)*100</f>
        <v>0</v>
      </c>
      <c r="L9" s="6" t="s">
        <v>148</v>
      </c>
    </row>
    <row r="10" spans="1:14" ht="18" customHeight="1" thickBot="1" x14ac:dyDescent="0.3">
      <c r="A10" s="1">
        <v>3</v>
      </c>
      <c r="B10" s="1"/>
      <c r="C10" s="1"/>
      <c r="D10" s="1"/>
      <c r="E10" s="1"/>
      <c r="F10" s="1"/>
      <c r="G10" s="1"/>
      <c r="L10" s="38" t="s">
        <v>0</v>
      </c>
      <c r="M10" s="38" t="s">
        <v>149</v>
      </c>
      <c r="N10" s="38" t="s">
        <v>7</v>
      </c>
    </row>
    <row r="11" spans="1:14" ht="17.25" customHeight="1" thickBot="1" x14ac:dyDescent="0.3">
      <c r="A11" s="1">
        <v>4</v>
      </c>
      <c r="B11" s="1"/>
      <c r="C11" s="1"/>
      <c r="D11" s="1"/>
      <c r="E11" s="1"/>
      <c r="F11" s="1"/>
      <c r="G11" s="1"/>
      <c r="L11" s="39" t="s">
        <v>138</v>
      </c>
      <c r="M11" s="39" t="s">
        <v>151</v>
      </c>
      <c r="N11" s="39" t="s">
        <v>9</v>
      </c>
    </row>
    <row r="12" spans="1:14" ht="18.75" customHeight="1" thickBot="1" x14ac:dyDescent="0.3">
      <c r="A12" s="1">
        <v>5</v>
      </c>
      <c r="B12" s="1"/>
      <c r="C12" s="1"/>
      <c r="D12" s="1"/>
      <c r="E12" s="1"/>
      <c r="F12" s="1"/>
      <c r="G12" s="1"/>
      <c r="L12" s="39" t="s">
        <v>150</v>
      </c>
      <c r="M12" s="39" t="s">
        <v>152</v>
      </c>
      <c r="N12" s="39" t="s">
        <v>8</v>
      </c>
    </row>
    <row r="13" spans="1:14" x14ac:dyDescent="0.25">
      <c r="A13" s="1">
        <v>6</v>
      </c>
      <c r="B13" s="1"/>
      <c r="C13" s="1"/>
      <c r="D13" s="1"/>
      <c r="E13" s="1"/>
      <c r="F13" s="1"/>
      <c r="G13" s="1"/>
      <c r="L13" t="s">
        <v>153</v>
      </c>
    </row>
    <row r="14" spans="1:14" x14ac:dyDescent="0.25">
      <c r="A14" s="1">
        <v>7</v>
      </c>
      <c r="B14" s="1"/>
      <c r="C14" s="1"/>
      <c r="D14" s="1"/>
      <c r="E14" s="1"/>
      <c r="F14" s="1"/>
      <c r="G14" s="1"/>
    </row>
    <row r="15" spans="1:14" x14ac:dyDescent="0.25">
      <c r="A15" s="1">
        <v>8</v>
      </c>
      <c r="B15" s="1"/>
      <c r="C15" s="1"/>
      <c r="D15" s="1"/>
      <c r="E15" s="1"/>
      <c r="F15" s="1"/>
      <c r="G15" s="1"/>
    </row>
    <row r="16" spans="1:14" x14ac:dyDescent="0.25">
      <c r="A16" s="1">
        <v>9</v>
      </c>
      <c r="B16" s="1"/>
      <c r="C16" s="1"/>
      <c r="D16" s="1"/>
      <c r="E16" s="1"/>
      <c r="F16" s="1"/>
      <c r="G16" s="1"/>
    </row>
    <row r="17" spans="1:8" x14ac:dyDescent="0.25">
      <c r="A17" s="1">
        <v>10</v>
      </c>
      <c r="B17" s="1"/>
      <c r="C17" s="1"/>
      <c r="D17" s="1"/>
      <c r="E17" s="1"/>
      <c r="F17" s="1"/>
      <c r="G17" s="1"/>
    </row>
    <row r="22" spans="1:8" ht="26.25" x14ac:dyDescent="0.4">
      <c r="A22" s="21" t="s">
        <v>155</v>
      </c>
      <c r="B22" s="16"/>
      <c r="C22" s="16"/>
      <c r="D22" s="16"/>
      <c r="E22" s="16"/>
      <c r="F22" s="16"/>
      <c r="G22" s="16"/>
      <c r="H22" s="16"/>
    </row>
    <row r="23" spans="1:8" x14ac:dyDescent="0.25">
      <c r="A23" s="35" t="s">
        <v>156</v>
      </c>
      <c r="B23" s="35" t="s">
        <v>41</v>
      </c>
      <c r="C23" s="35" t="s">
        <v>42</v>
      </c>
      <c r="D23" s="35" t="s">
        <v>43</v>
      </c>
      <c r="E23" s="35" t="s">
        <v>44</v>
      </c>
      <c r="F23" s="35" t="s">
        <v>15</v>
      </c>
    </row>
    <row r="24" spans="1:8" x14ac:dyDescent="0.25">
      <c r="A24" s="1">
        <v>0</v>
      </c>
      <c r="B24" s="1">
        <v>1.5</v>
      </c>
      <c r="C24" s="1">
        <f>+EXP(-B24) - LN(B24)</f>
        <v>-0.18233494795973457</v>
      </c>
      <c r="D24" s="1">
        <f>+-EXP(-B24) - (1/B24)</f>
        <v>-0.88979682681509642</v>
      </c>
      <c r="E24" s="1">
        <f>+B24 - (C24/D24)</f>
        <v>1.2950824924692337</v>
      </c>
      <c r="F24" s="1"/>
    </row>
    <row r="25" spans="1:8" x14ac:dyDescent="0.25">
      <c r="A25" s="1">
        <v>1</v>
      </c>
      <c r="B25" s="1">
        <f>E24</f>
        <v>1.2950824924692337</v>
      </c>
      <c r="C25" s="1">
        <f>+EXP(-B25) - LN(B25)</f>
        <v>1.5300876881074343E-2</v>
      </c>
      <c r="D25" s="1">
        <f>+-EXP(-B25) - (1/B25)</f>
        <v>-1.046026856319072</v>
      </c>
      <c r="E25" s="1">
        <f>+B25 - (C25/D25)</f>
        <v>1.3097101062715384</v>
      </c>
      <c r="F25" s="1">
        <f>+ABS((E25-B25)/E25)*100</f>
        <v>1.116858893602521</v>
      </c>
    </row>
    <row r="26" spans="1:8" x14ac:dyDescent="0.25">
      <c r="A26" s="1">
        <v>2</v>
      </c>
      <c r="B26" s="1">
        <f>E25</f>
        <v>1.3097101062715384</v>
      </c>
      <c r="C26" s="1">
        <f>+EXP(-B26) - LN(B26)</f>
        <v>9.2467063882217815E-5</v>
      </c>
      <c r="D26" s="1">
        <f>+-EXP(-B26) - (1/B26)</f>
        <v>-1.0334260287769248</v>
      </c>
      <c r="E26" s="1">
        <f>+B26 - (C26/D26)</f>
        <v>1.3097995825004192</v>
      </c>
      <c r="F26" s="1">
        <f>+ABS((E26-B26)/E26)*100</f>
        <v>6.8312916018777098E-3</v>
      </c>
    </row>
    <row r="27" spans="1:8" x14ac:dyDescent="0.25">
      <c r="A27" s="1">
        <v>3</v>
      </c>
      <c r="B27" s="1">
        <f>E26</f>
        <v>1.3097995825004192</v>
      </c>
      <c r="C27" s="1">
        <f>+EXP(-B27) - LN(B27)</f>
        <v>3.4139098215035801E-9</v>
      </c>
      <c r="D27" s="1">
        <f>+-EXP(-B27) - (1/B27)</f>
        <v>-1.0333497215698935</v>
      </c>
      <c r="E27" s="1">
        <f>+B27 - (C27/D27)</f>
        <v>1.3097995858041505</v>
      </c>
      <c r="F27" s="1">
        <f>+ABS((E27-B27)/E27)*100</f>
        <v>2.5223181655775653E-7</v>
      </c>
    </row>
    <row r="28" spans="1:8" x14ac:dyDescent="0.25">
      <c r="A28" s="1">
        <v>4</v>
      </c>
      <c r="B28" s="1">
        <f t="shared" ref="B28:B34" si="0">E27</f>
        <v>1.3097995858041505</v>
      </c>
      <c r="C28" s="1">
        <f t="shared" ref="C28:C34" si="1">+EXP(-B28) - LN(B28)</f>
        <v>0</v>
      </c>
      <c r="D28" s="1">
        <f t="shared" ref="D28:D34" si="2">+-EXP(-B28) - (1/B28)</f>
        <v>-1.0333497187525735</v>
      </c>
      <c r="E28" s="1">
        <f t="shared" ref="E28:E34" si="3">+B28 - (C28/D28)</f>
        <v>1.3097995858041505</v>
      </c>
      <c r="F28" s="1">
        <f t="shared" ref="F28:F34" si="4">+ABS((E28-B28)/E28)*100</f>
        <v>0</v>
      </c>
    </row>
    <row r="29" spans="1:8" x14ac:dyDescent="0.25">
      <c r="A29">
        <v>5</v>
      </c>
      <c r="B29">
        <f t="shared" si="0"/>
        <v>1.3097995858041505</v>
      </c>
      <c r="C29">
        <f t="shared" si="1"/>
        <v>0</v>
      </c>
      <c r="D29">
        <f t="shared" si="2"/>
        <v>-1.0333497187525735</v>
      </c>
      <c r="E29">
        <f t="shared" si="3"/>
        <v>1.3097995858041505</v>
      </c>
      <c r="F29">
        <f t="shared" si="4"/>
        <v>0</v>
      </c>
    </row>
    <row r="30" spans="1:8" x14ac:dyDescent="0.25">
      <c r="A30">
        <v>6</v>
      </c>
      <c r="B30">
        <f t="shared" si="0"/>
        <v>1.3097995858041505</v>
      </c>
      <c r="C30">
        <f t="shared" si="1"/>
        <v>0</v>
      </c>
      <c r="D30">
        <f t="shared" si="2"/>
        <v>-1.0333497187525735</v>
      </c>
      <c r="E30">
        <f t="shared" si="3"/>
        <v>1.3097995858041505</v>
      </c>
      <c r="F30">
        <f t="shared" si="4"/>
        <v>0</v>
      </c>
    </row>
    <row r="31" spans="1:8" x14ac:dyDescent="0.25">
      <c r="A31">
        <v>7</v>
      </c>
      <c r="B31">
        <f t="shared" si="0"/>
        <v>1.3097995858041505</v>
      </c>
      <c r="C31">
        <f t="shared" si="1"/>
        <v>0</v>
      </c>
      <c r="D31">
        <f t="shared" si="2"/>
        <v>-1.0333497187525735</v>
      </c>
      <c r="E31">
        <f t="shared" si="3"/>
        <v>1.3097995858041505</v>
      </c>
      <c r="F31">
        <f t="shared" si="4"/>
        <v>0</v>
      </c>
    </row>
    <row r="32" spans="1:8" x14ac:dyDescent="0.25">
      <c r="A32">
        <v>8</v>
      </c>
      <c r="B32">
        <f t="shared" si="0"/>
        <v>1.3097995858041505</v>
      </c>
      <c r="C32">
        <f t="shared" si="1"/>
        <v>0</v>
      </c>
      <c r="D32">
        <f t="shared" si="2"/>
        <v>-1.0333497187525735</v>
      </c>
      <c r="E32">
        <f t="shared" si="3"/>
        <v>1.3097995858041505</v>
      </c>
      <c r="F32">
        <f t="shared" si="4"/>
        <v>0</v>
      </c>
    </row>
    <row r="33" spans="1:9" x14ac:dyDescent="0.25">
      <c r="A33">
        <v>9</v>
      </c>
      <c r="B33">
        <f t="shared" si="0"/>
        <v>1.3097995858041505</v>
      </c>
      <c r="C33">
        <f t="shared" si="1"/>
        <v>0</v>
      </c>
      <c r="D33">
        <f t="shared" si="2"/>
        <v>-1.0333497187525735</v>
      </c>
      <c r="E33">
        <f t="shared" si="3"/>
        <v>1.3097995858041505</v>
      </c>
      <c r="F33">
        <f t="shared" si="4"/>
        <v>0</v>
      </c>
    </row>
    <row r="34" spans="1:9" x14ac:dyDescent="0.25">
      <c r="A34">
        <v>10</v>
      </c>
      <c r="B34">
        <f t="shared" si="0"/>
        <v>1.3097995858041505</v>
      </c>
      <c r="C34">
        <f t="shared" si="1"/>
        <v>0</v>
      </c>
      <c r="D34">
        <f t="shared" si="2"/>
        <v>-1.0333497187525735</v>
      </c>
      <c r="E34">
        <f t="shared" si="3"/>
        <v>1.3097995858041505</v>
      </c>
      <c r="F34">
        <f t="shared" si="4"/>
        <v>0</v>
      </c>
    </row>
    <row r="39" spans="1:9" ht="26.25" x14ac:dyDescent="0.4">
      <c r="A39" s="21" t="s">
        <v>157</v>
      </c>
      <c r="B39" s="16"/>
      <c r="C39" s="16"/>
      <c r="D39" s="16"/>
      <c r="E39" s="16"/>
      <c r="F39" s="16"/>
      <c r="G39" s="16"/>
      <c r="H39" s="16"/>
      <c r="I39" s="16"/>
    </row>
    <row r="40" spans="1:9" x14ac:dyDescent="0.25">
      <c r="A40" s="43" t="s">
        <v>99</v>
      </c>
      <c r="B40" s="43" t="s">
        <v>53</v>
      </c>
      <c r="C40" s="43" t="s">
        <v>41</v>
      </c>
      <c r="D40" s="43" t="s">
        <v>54</v>
      </c>
      <c r="E40" s="43" t="s">
        <v>42</v>
      </c>
      <c r="F40" s="43" t="s">
        <v>44</v>
      </c>
      <c r="G40" s="43" t="s">
        <v>15</v>
      </c>
    </row>
    <row r="41" spans="1:9" x14ac:dyDescent="0.25">
      <c r="A41" s="1">
        <v>0</v>
      </c>
      <c r="B41" s="1">
        <v>2</v>
      </c>
      <c r="C41" s="1">
        <v>1</v>
      </c>
      <c r="D41" s="1">
        <f>+EXP(-B41) - LN(B41)</f>
        <v>-0.55781189732333258</v>
      </c>
      <c r="E41" s="1">
        <f>+EXP(-C41) - LN(C41)</f>
        <v>0.36787944117144233</v>
      </c>
      <c r="F41" s="1">
        <f>+C41 - E41*(B41-C41)/(D41-E41)</f>
        <v>1.3974104821696123</v>
      </c>
      <c r="G41" s="1"/>
    </row>
    <row r="42" spans="1:9" x14ac:dyDescent="0.25">
      <c r="A42" s="1">
        <v>1</v>
      </c>
      <c r="B42" s="1">
        <f>+C41</f>
        <v>1</v>
      </c>
      <c r="C42" s="1">
        <f>F41</f>
        <v>1.3974104821696123</v>
      </c>
      <c r="D42" s="1">
        <f>+EXP(-B42) - LN(B42)</f>
        <v>0.36787944117144233</v>
      </c>
      <c r="E42" s="1">
        <f>+EXP(-C42) - LN(C42)</f>
        <v>-8.7384509621480033E-2</v>
      </c>
      <c r="F42" s="1">
        <f>+C42 - E42*(B42-C42)/(D42-E42)</f>
        <v>1.3211305130608273</v>
      </c>
      <c r="G42" s="1">
        <f>+ABS((F42-C42)/F42)*100</f>
        <v>5.7738405369245243</v>
      </c>
    </row>
    <row r="43" spans="1:9" x14ac:dyDescent="0.25">
      <c r="A43" s="1">
        <v>2</v>
      </c>
      <c r="B43" s="1">
        <f>+C42</f>
        <v>1.3974104821696123</v>
      </c>
      <c r="C43" s="1">
        <f>F42</f>
        <v>1.3211305130608273</v>
      </c>
      <c r="D43" s="1">
        <f>+EXP(-B43) - LN(B43)</f>
        <v>-8.7384509621480033E-2</v>
      </c>
      <c r="E43" s="1">
        <f>+EXP(-C43) - LN(C43)</f>
        <v>-1.165434668226023E-2</v>
      </c>
      <c r="F43" s="1">
        <f>+C43 - E43*(B43-C43)/(D43-E43)</f>
        <v>1.309391555023468</v>
      </c>
      <c r="G43" s="1">
        <f>+ABS((F43-C43)/F43)*100</f>
        <v>0.89652006631040571</v>
      </c>
    </row>
    <row r="44" spans="1:9" x14ac:dyDescent="0.25">
      <c r="A44" s="1">
        <v>3</v>
      </c>
      <c r="B44" s="1">
        <f>+C43</f>
        <v>1.3211305130608273</v>
      </c>
      <c r="C44" s="1">
        <f>F43</f>
        <v>1.309391555023468</v>
      </c>
      <c r="D44" s="1">
        <f>+EXP(-B44) - LN(B44)</f>
        <v>-1.165434668226023E-2</v>
      </c>
      <c r="E44" s="1">
        <f>+EXP(-C44) - LN(C44)</f>
        <v>4.2170949398379065E-4</v>
      </c>
      <c r="F44" s="1">
        <f>+C44 - E44*(B44-C44)/(D44-E44)</f>
        <v>1.30980149267046</v>
      </c>
      <c r="G44" s="1">
        <f>+ABS((F44-C44)/F44)*100</f>
        <v>3.129769276382019E-2</v>
      </c>
    </row>
    <row r="45" spans="1:9" x14ac:dyDescent="0.25">
      <c r="A45" s="1">
        <v>4</v>
      </c>
      <c r="B45" s="1">
        <f t="shared" ref="B45:B49" si="5">+C44</f>
        <v>1.309391555023468</v>
      </c>
      <c r="C45" s="1">
        <f t="shared" ref="C45:C49" si="6">F44</f>
        <v>1.30980149267046</v>
      </c>
      <c r="D45" s="1">
        <f t="shared" ref="D45:D49" si="7">+EXP(-B45) - LN(B45)</f>
        <v>4.2170949398379065E-4</v>
      </c>
      <c r="E45" s="1">
        <f t="shared" ref="E45:E49" si="8">+EXP(-C45) - LN(C45)</f>
        <v>-1.9704582142066052E-6</v>
      </c>
      <c r="F45" s="1">
        <f t="shared" ref="F45:F49" si="9">+C45 - E45*(B45-C45)/(D45-E45)</f>
        <v>1.3097995861252019</v>
      </c>
      <c r="G45" s="1">
        <f t="shared" ref="G45:G49" si="10">+ABS((F45-C45)/F45)*100</f>
        <v>1.4556007486248802E-4</v>
      </c>
    </row>
    <row r="46" spans="1:9" x14ac:dyDescent="0.25">
      <c r="A46" s="1">
        <v>5</v>
      </c>
      <c r="B46" s="1">
        <f t="shared" si="5"/>
        <v>1.30980149267046</v>
      </c>
      <c r="C46" s="1">
        <f t="shared" si="6"/>
        <v>1.3097995861252019</v>
      </c>
      <c r="D46" s="1">
        <f t="shared" si="7"/>
        <v>-1.9704582142066052E-6</v>
      </c>
      <c r="E46" s="1">
        <f t="shared" si="8"/>
        <v>-3.3175834301957252E-10</v>
      </c>
      <c r="F46" s="1">
        <f t="shared" si="9"/>
        <v>1.3097995858041502</v>
      </c>
      <c r="G46" s="1">
        <f t="shared" si="10"/>
        <v>2.4511507959344354E-8</v>
      </c>
    </row>
    <row r="47" spans="1:9" x14ac:dyDescent="0.25">
      <c r="A47" s="1">
        <v>6</v>
      </c>
      <c r="B47" s="1">
        <f t="shared" si="5"/>
        <v>1.3097995861252019</v>
      </c>
      <c r="C47" s="1">
        <f t="shared" si="6"/>
        <v>1.3097995858041502</v>
      </c>
      <c r="D47" s="1">
        <f t="shared" si="7"/>
        <v>-3.3175834301957252E-10</v>
      </c>
      <c r="E47" s="1">
        <f t="shared" si="8"/>
        <v>0</v>
      </c>
      <c r="F47" s="1">
        <f t="shared" si="9"/>
        <v>1.3097995858041502</v>
      </c>
      <c r="G47" s="1">
        <f t="shared" si="10"/>
        <v>0</v>
      </c>
    </row>
    <row r="48" spans="1:9" x14ac:dyDescent="0.25">
      <c r="A48" s="1">
        <v>7</v>
      </c>
      <c r="B48" s="1"/>
      <c r="C48" s="1"/>
      <c r="D48" s="1"/>
      <c r="E48" s="1"/>
      <c r="F48" s="1"/>
      <c r="G48" s="1"/>
    </row>
    <row r="49" spans="1:7" x14ac:dyDescent="0.25">
      <c r="A49" s="1">
        <v>8</v>
      </c>
      <c r="B49" s="1"/>
      <c r="C49" s="1"/>
      <c r="D49" s="1"/>
      <c r="E49" s="1"/>
      <c r="F49" s="1"/>
      <c r="G49" s="1"/>
    </row>
    <row r="50" spans="1:7" x14ac:dyDescent="0.25">
      <c r="A50" s="1">
        <v>9</v>
      </c>
      <c r="B50" s="1"/>
      <c r="C50" s="1"/>
      <c r="D50" s="1"/>
      <c r="E50" s="1"/>
      <c r="F50" s="1"/>
      <c r="G50" s="1"/>
    </row>
    <row r="51" spans="1:7" x14ac:dyDescent="0.25">
      <c r="A51" s="1">
        <v>10</v>
      </c>
      <c r="B51" s="1"/>
      <c r="C51" s="1"/>
      <c r="D51" s="1"/>
      <c r="E51" s="1"/>
      <c r="F51" s="1"/>
      <c r="G51" s="1"/>
    </row>
    <row r="57" spans="1:7" ht="23.25" x14ac:dyDescent="0.25">
      <c r="A57" s="37" t="s">
        <v>100</v>
      </c>
    </row>
    <row r="58" spans="1:7" ht="17.25" x14ac:dyDescent="0.25">
      <c r="A58" s="24" t="s">
        <v>102</v>
      </c>
    </row>
    <row r="59" spans="1:7" x14ac:dyDescent="0.25">
      <c r="A59" s="6" t="s">
        <v>158</v>
      </c>
    </row>
    <row r="60" spans="1:7" x14ac:dyDescent="0.25">
      <c r="A60" s="6" t="s">
        <v>159</v>
      </c>
    </row>
    <row r="61" spans="1:7" ht="15.75" thickBot="1" x14ac:dyDescent="0.3">
      <c r="A61" s="6" t="s">
        <v>160</v>
      </c>
    </row>
    <row r="62" spans="1:7" ht="36" customHeight="1" thickBot="1" x14ac:dyDescent="0.3">
      <c r="A62" s="38" t="s">
        <v>104</v>
      </c>
      <c r="B62" s="38" t="s">
        <v>105</v>
      </c>
      <c r="C62" s="38" t="s">
        <v>106</v>
      </c>
      <c r="D62" s="38" t="s">
        <v>107</v>
      </c>
    </row>
    <row r="63" spans="1:7" ht="37.5" customHeight="1" thickBot="1" x14ac:dyDescent="0.3">
      <c r="A63" s="38" t="s">
        <v>108</v>
      </c>
      <c r="B63" s="39" t="s">
        <v>164</v>
      </c>
      <c r="C63" s="39">
        <v>15</v>
      </c>
      <c r="D63" s="39" t="s">
        <v>161</v>
      </c>
    </row>
    <row r="64" spans="1:7" ht="32.25" customHeight="1" thickBot="1" x14ac:dyDescent="0.3">
      <c r="A64" s="38" t="s">
        <v>110</v>
      </c>
      <c r="B64" s="39" t="s">
        <v>165</v>
      </c>
      <c r="C64" s="38">
        <v>3</v>
      </c>
      <c r="D64" s="39" t="s">
        <v>162</v>
      </c>
      <c r="G64" s="44"/>
    </row>
    <row r="65" spans="1:4" ht="29.25" customHeight="1" thickBot="1" x14ac:dyDescent="0.3">
      <c r="A65" s="38" t="s">
        <v>112</v>
      </c>
      <c r="B65" s="39" t="s">
        <v>165</v>
      </c>
      <c r="C65" s="38">
        <v>4</v>
      </c>
      <c r="D65" s="39" t="s">
        <v>163</v>
      </c>
    </row>
    <row r="67" spans="1:4" x14ac:dyDescent="0.25">
      <c r="A67" s="18" t="s">
        <v>166</v>
      </c>
    </row>
    <row r="68" spans="1:4" x14ac:dyDescent="0.25">
      <c r="A68" s="4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</dc:creator>
  <cp:lastModifiedBy>ALEJANDRA</cp:lastModifiedBy>
  <dcterms:created xsi:type="dcterms:W3CDTF">2015-06-05T18:19:34Z</dcterms:created>
  <dcterms:modified xsi:type="dcterms:W3CDTF">2025-12-01T03:53:18Z</dcterms:modified>
</cp:coreProperties>
</file>